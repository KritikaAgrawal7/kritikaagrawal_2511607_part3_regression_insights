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kritikaagrawal/Desktop/capstone project part 3/part3_regression_insights/analysis/"/>
    </mc:Choice>
  </mc:AlternateContent>
  <xr:revisionPtr revIDLastSave="0" documentId="13_ncr:1_{18AA4305-EE52-694F-BFA8-8659BC11D279}" xr6:coauthVersionLast="47" xr6:coauthVersionMax="47" xr10:uidLastSave="{00000000-0000-0000-0000-000000000000}"/>
  <bookViews>
    <workbookView xWindow="0" yWindow="760" windowWidth="29400" windowHeight="17200" xr2:uid="{00000000-000D-0000-FFFF-FFFF00000000}"/>
  </bookViews>
  <sheets>
    <sheet name="Original Dataset" sheetId="1" r:id="rId1"/>
    <sheet name="Cleaned Dataset " sheetId="3" r:id="rId2"/>
    <sheet name="    Dummy Variables" sheetId="4" r:id="rId3"/>
    <sheet name="Simple regression outputs" sheetId="5" r:id="rId4"/>
    <sheet name="Multiple regression outputs" sheetId="6" r:id="rId5"/>
    <sheet name="data_dictionary" sheetId="2" r:id="rId6"/>
    <sheet name="Temporary for multiple regressi" sheetId="7" r:id="rId7"/>
  </sheets>
  <definedNames>
    <definedName name="_xlnm._FilterDatabase" localSheetId="2" hidden="1">'    Dummy Variables'!$A$1:$T$321</definedName>
    <definedName name="_xlnm._FilterDatabase" localSheetId="1" hidden="1">'Cleaned Dataset '!$A$1:$N$321</definedName>
    <definedName name="_xlnm._FilterDatabase" localSheetId="6" hidden="1">'Temporary for multiple regressi'!$A$1:$V$321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9" i="7" l="1"/>
  <c r="U279" i="7" s="1"/>
  <c r="V279" i="7" s="1"/>
  <c r="T279" i="7"/>
  <c r="S279" i="7"/>
  <c r="R279" i="7"/>
  <c r="Q279" i="7"/>
  <c r="P279" i="7"/>
  <c r="I213" i="7"/>
  <c r="U213" i="7" s="1"/>
  <c r="V213" i="7" s="1"/>
  <c r="T213" i="7"/>
  <c r="S213" i="7"/>
  <c r="R213" i="7"/>
  <c r="Q213" i="7"/>
  <c r="P213" i="7"/>
  <c r="I142" i="7"/>
  <c r="U142" i="7" s="1"/>
  <c r="V142" i="7" s="1"/>
  <c r="T142" i="7"/>
  <c r="S142" i="7"/>
  <c r="R142" i="7"/>
  <c r="Q142" i="7"/>
  <c r="P142" i="7"/>
  <c r="I294" i="7"/>
  <c r="U294" i="7" s="1"/>
  <c r="V294" i="7" s="1"/>
  <c r="T294" i="7"/>
  <c r="S294" i="7"/>
  <c r="R294" i="7"/>
  <c r="Q294" i="7"/>
  <c r="P294" i="7"/>
  <c r="I102" i="7"/>
  <c r="U102" i="7" s="1"/>
  <c r="V102" i="7" s="1"/>
  <c r="T102" i="7"/>
  <c r="S102" i="7"/>
  <c r="R102" i="7"/>
  <c r="Q102" i="7"/>
  <c r="P102" i="7"/>
  <c r="I108" i="7"/>
  <c r="U108" i="7" s="1"/>
  <c r="V108" i="7" s="1"/>
  <c r="T108" i="7"/>
  <c r="S108" i="7"/>
  <c r="R108" i="7"/>
  <c r="Q108" i="7"/>
  <c r="P108" i="7"/>
  <c r="I275" i="7"/>
  <c r="U275" i="7" s="1"/>
  <c r="V275" i="7" s="1"/>
  <c r="T275" i="7"/>
  <c r="S275" i="7"/>
  <c r="R275" i="7"/>
  <c r="Q275" i="7"/>
  <c r="P275" i="7"/>
  <c r="I88" i="7"/>
  <c r="U88" i="7" s="1"/>
  <c r="V88" i="7" s="1"/>
  <c r="T88" i="7"/>
  <c r="S88" i="7"/>
  <c r="R88" i="7"/>
  <c r="Q88" i="7"/>
  <c r="P88" i="7"/>
  <c r="I87" i="7"/>
  <c r="U87" i="7" s="1"/>
  <c r="V87" i="7" s="1"/>
  <c r="T87" i="7"/>
  <c r="S87" i="7"/>
  <c r="R87" i="7"/>
  <c r="Q87" i="7"/>
  <c r="P87" i="7"/>
  <c r="I193" i="7"/>
  <c r="U193" i="7" s="1"/>
  <c r="V193" i="7" s="1"/>
  <c r="T193" i="7"/>
  <c r="S193" i="7"/>
  <c r="R193" i="7"/>
  <c r="Q193" i="7"/>
  <c r="P193" i="7"/>
  <c r="I262" i="7"/>
  <c r="U262" i="7" s="1"/>
  <c r="V262" i="7" s="1"/>
  <c r="T262" i="7"/>
  <c r="S262" i="7"/>
  <c r="R262" i="7"/>
  <c r="Q262" i="7"/>
  <c r="P262" i="7"/>
  <c r="I194" i="7"/>
  <c r="U194" i="7" s="1"/>
  <c r="V194" i="7" s="1"/>
  <c r="T194" i="7"/>
  <c r="S194" i="7"/>
  <c r="R194" i="7"/>
  <c r="Q194" i="7"/>
  <c r="P194" i="7"/>
  <c r="I286" i="7"/>
  <c r="U286" i="7" s="1"/>
  <c r="V286" i="7" s="1"/>
  <c r="T286" i="7"/>
  <c r="S286" i="7"/>
  <c r="R286" i="7"/>
  <c r="Q286" i="7"/>
  <c r="P286" i="7"/>
  <c r="I48" i="7"/>
  <c r="U48" i="7" s="1"/>
  <c r="V48" i="7" s="1"/>
  <c r="T48" i="7"/>
  <c r="S48" i="7"/>
  <c r="R48" i="7"/>
  <c r="Q48" i="7"/>
  <c r="P48" i="7"/>
  <c r="I314" i="7"/>
  <c r="U314" i="7" s="1"/>
  <c r="V314" i="7" s="1"/>
  <c r="T314" i="7"/>
  <c r="S314" i="7"/>
  <c r="R314" i="7"/>
  <c r="Q314" i="7"/>
  <c r="P314" i="7"/>
  <c r="I74" i="7"/>
  <c r="U74" i="7" s="1"/>
  <c r="V74" i="7" s="1"/>
  <c r="T74" i="7"/>
  <c r="S74" i="7"/>
  <c r="R74" i="7"/>
  <c r="Q74" i="7"/>
  <c r="P74" i="7"/>
  <c r="I53" i="7"/>
  <c r="U53" i="7" s="1"/>
  <c r="V53" i="7" s="1"/>
  <c r="T53" i="7"/>
  <c r="S53" i="7"/>
  <c r="R53" i="7"/>
  <c r="Q53" i="7"/>
  <c r="P53" i="7"/>
  <c r="I229" i="7"/>
  <c r="U229" i="7" s="1"/>
  <c r="V229" i="7" s="1"/>
  <c r="T229" i="7"/>
  <c r="S229" i="7"/>
  <c r="R229" i="7"/>
  <c r="Q229" i="7"/>
  <c r="P229" i="7"/>
  <c r="I187" i="7"/>
  <c r="U187" i="7" s="1"/>
  <c r="V187" i="7" s="1"/>
  <c r="T187" i="7"/>
  <c r="S187" i="7"/>
  <c r="R187" i="7"/>
  <c r="Q187" i="7"/>
  <c r="P187" i="7"/>
  <c r="I245" i="7"/>
  <c r="U245" i="7" s="1"/>
  <c r="V245" i="7" s="1"/>
  <c r="T245" i="7"/>
  <c r="S245" i="7"/>
  <c r="R245" i="7"/>
  <c r="Q245" i="7"/>
  <c r="P245" i="7"/>
  <c r="I292" i="7"/>
  <c r="U292" i="7" s="1"/>
  <c r="V292" i="7" s="1"/>
  <c r="T292" i="7"/>
  <c r="S292" i="7"/>
  <c r="R292" i="7"/>
  <c r="Q292" i="7"/>
  <c r="P292" i="7"/>
  <c r="I199" i="7"/>
  <c r="U199" i="7" s="1"/>
  <c r="V199" i="7" s="1"/>
  <c r="T199" i="7"/>
  <c r="S199" i="7"/>
  <c r="R199" i="7"/>
  <c r="Q199" i="7"/>
  <c r="P199" i="7"/>
  <c r="I7" i="7"/>
  <c r="U7" i="7" s="1"/>
  <c r="V7" i="7" s="1"/>
  <c r="T7" i="7"/>
  <c r="S7" i="7"/>
  <c r="R7" i="7"/>
  <c r="Q7" i="7"/>
  <c r="P7" i="7"/>
  <c r="I137" i="7"/>
  <c r="U137" i="7" s="1"/>
  <c r="V137" i="7" s="1"/>
  <c r="T137" i="7"/>
  <c r="S137" i="7"/>
  <c r="R137" i="7"/>
  <c r="Q137" i="7"/>
  <c r="P137" i="7"/>
  <c r="I93" i="7"/>
  <c r="U93" i="7" s="1"/>
  <c r="V93" i="7" s="1"/>
  <c r="T93" i="7"/>
  <c r="S93" i="7"/>
  <c r="R93" i="7"/>
  <c r="Q93" i="7"/>
  <c r="P93" i="7"/>
  <c r="I159" i="7"/>
  <c r="U159" i="7" s="1"/>
  <c r="V159" i="7" s="1"/>
  <c r="T159" i="7"/>
  <c r="S159" i="7"/>
  <c r="R159" i="7"/>
  <c r="Q159" i="7"/>
  <c r="P159" i="7"/>
  <c r="I119" i="7"/>
  <c r="U119" i="7" s="1"/>
  <c r="V119" i="7" s="1"/>
  <c r="T119" i="7"/>
  <c r="S119" i="7"/>
  <c r="R119" i="7"/>
  <c r="Q119" i="7"/>
  <c r="P119" i="7"/>
  <c r="I257" i="7"/>
  <c r="U257" i="7" s="1"/>
  <c r="V257" i="7" s="1"/>
  <c r="T257" i="7"/>
  <c r="S257" i="7"/>
  <c r="R257" i="7"/>
  <c r="Q257" i="7"/>
  <c r="P257" i="7"/>
  <c r="I221" i="7"/>
  <c r="U221" i="7" s="1"/>
  <c r="V221" i="7" s="1"/>
  <c r="T221" i="7"/>
  <c r="S221" i="7"/>
  <c r="R221" i="7"/>
  <c r="Q221" i="7"/>
  <c r="P221" i="7"/>
  <c r="I8" i="7"/>
  <c r="U8" i="7" s="1"/>
  <c r="V8" i="7" s="1"/>
  <c r="T8" i="7"/>
  <c r="S8" i="7"/>
  <c r="R8" i="7"/>
  <c r="Q8" i="7"/>
  <c r="P8" i="7"/>
  <c r="I267" i="7"/>
  <c r="U267" i="7" s="1"/>
  <c r="V267" i="7" s="1"/>
  <c r="T267" i="7"/>
  <c r="S267" i="7"/>
  <c r="R267" i="7"/>
  <c r="Q267" i="7"/>
  <c r="P267" i="7"/>
  <c r="I96" i="7"/>
  <c r="U96" i="7" s="1"/>
  <c r="V96" i="7" s="1"/>
  <c r="T96" i="7"/>
  <c r="S96" i="7"/>
  <c r="R96" i="7"/>
  <c r="Q96" i="7"/>
  <c r="P96" i="7"/>
  <c r="I223" i="7"/>
  <c r="U223" i="7" s="1"/>
  <c r="V223" i="7" s="1"/>
  <c r="T223" i="7"/>
  <c r="S223" i="7"/>
  <c r="R223" i="7"/>
  <c r="Q223" i="7"/>
  <c r="P223" i="7"/>
  <c r="I155" i="7"/>
  <c r="U155" i="7" s="1"/>
  <c r="V155" i="7" s="1"/>
  <c r="T155" i="7"/>
  <c r="S155" i="7"/>
  <c r="R155" i="7"/>
  <c r="Q155" i="7"/>
  <c r="P155" i="7"/>
  <c r="I188" i="7"/>
  <c r="U188" i="7" s="1"/>
  <c r="V188" i="7" s="1"/>
  <c r="T188" i="7"/>
  <c r="S188" i="7"/>
  <c r="R188" i="7"/>
  <c r="Q188" i="7"/>
  <c r="P188" i="7"/>
  <c r="I196" i="7"/>
  <c r="U196" i="7" s="1"/>
  <c r="V196" i="7" s="1"/>
  <c r="T196" i="7"/>
  <c r="S196" i="7"/>
  <c r="R196" i="7"/>
  <c r="Q196" i="7"/>
  <c r="P196" i="7"/>
  <c r="I144" i="7"/>
  <c r="U144" i="7" s="1"/>
  <c r="V144" i="7" s="1"/>
  <c r="T144" i="7"/>
  <c r="S144" i="7"/>
  <c r="R144" i="7"/>
  <c r="Q144" i="7"/>
  <c r="P144" i="7"/>
  <c r="I81" i="7"/>
  <c r="U81" i="7" s="1"/>
  <c r="V81" i="7" s="1"/>
  <c r="T81" i="7"/>
  <c r="S81" i="7"/>
  <c r="R81" i="7"/>
  <c r="Q81" i="7"/>
  <c r="P81" i="7"/>
  <c r="I236" i="7"/>
  <c r="U236" i="7" s="1"/>
  <c r="V236" i="7" s="1"/>
  <c r="T236" i="7"/>
  <c r="S236" i="7"/>
  <c r="R236" i="7"/>
  <c r="Q236" i="7"/>
  <c r="P236" i="7"/>
  <c r="I263" i="7"/>
  <c r="U263" i="7" s="1"/>
  <c r="V263" i="7" s="1"/>
  <c r="T263" i="7"/>
  <c r="S263" i="7"/>
  <c r="R263" i="7"/>
  <c r="Q263" i="7"/>
  <c r="P263" i="7"/>
  <c r="I203" i="7"/>
  <c r="U203" i="7" s="1"/>
  <c r="V203" i="7" s="1"/>
  <c r="T203" i="7"/>
  <c r="S203" i="7"/>
  <c r="R203" i="7"/>
  <c r="Q203" i="7"/>
  <c r="P203" i="7"/>
  <c r="I154" i="7"/>
  <c r="U154" i="7" s="1"/>
  <c r="V154" i="7" s="1"/>
  <c r="T154" i="7"/>
  <c r="S154" i="7"/>
  <c r="R154" i="7"/>
  <c r="Q154" i="7"/>
  <c r="P154" i="7"/>
  <c r="I73" i="7"/>
  <c r="U73" i="7" s="1"/>
  <c r="V73" i="7" s="1"/>
  <c r="T73" i="7"/>
  <c r="S73" i="7"/>
  <c r="R73" i="7"/>
  <c r="Q73" i="7"/>
  <c r="P73" i="7"/>
  <c r="I297" i="7"/>
  <c r="U297" i="7" s="1"/>
  <c r="V297" i="7" s="1"/>
  <c r="T297" i="7"/>
  <c r="S297" i="7"/>
  <c r="R297" i="7"/>
  <c r="Q297" i="7"/>
  <c r="P297" i="7"/>
  <c r="I4" i="7"/>
  <c r="U4" i="7" s="1"/>
  <c r="V4" i="7" s="1"/>
  <c r="T4" i="7"/>
  <c r="S4" i="7"/>
  <c r="R4" i="7"/>
  <c r="Q4" i="7"/>
  <c r="P4" i="7"/>
  <c r="I160" i="7"/>
  <c r="U160" i="7" s="1"/>
  <c r="V160" i="7" s="1"/>
  <c r="T160" i="7"/>
  <c r="S160" i="7"/>
  <c r="R160" i="7"/>
  <c r="Q160" i="7"/>
  <c r="P160" i="7"/>
  <c r="I47" i="7"/>
  <c r="U47" i="7" s="1"/>
  <c r="V47" i="7" s="1"/>
  <c r="T47" i="7"/>
  <c r="S47" i="7"/>
  <c r="R47" i="7"/>
  <c r="Q47" i="7"/>
  <c r="P47" i="7"/>
  <c r="I101" i="7"/>
  <c r="U101" i="7" s="1"/>
  <c r="V101" i="7" s="1"/>
  <c r="T101" i="7"/>
  <c r="S101" i="7"/>
  <c r="R101" i="7"/>
  <c r="Q101" i="7"/>
  <c r="P101" i="7"/>
  <c r="I308" i="7"/>
  <c r="U308" i="7" s="1"/>
  <c r="V308" i="7" s="1"/>
  <c r="T308" i="7"/>
  <c r="S308" i="7"/>
  <c r="R308" i="7"/>
  <c r="Q308" i="7"/>
  <c r="P308" i="7"/>
  <c r="I222" i="7"/>
  <c r="U222" i="7" s="1"/>
  <c r="V222" i="7" s="1"/>
  <c r="T222" i="7"/>
  <c r="S222" i="7"/>
  <c r="R222" i="7"/>
  <c r="Q222" i="7"/>
  <c r="P222" i="7"/>
  <c r="I65" i="7"/>
  <c r="U65" i="7" s="1"/>
  <c r="V65" i="7" s="1"/>
  <c r="T65" i="7"/>
  <c r="S65" i="7"/>
  <c r="R65" i="7"/>
  <c r="Q65" i="7"/>
  <c r="P65" i="7"/>
  <c r="I313" i="7"/>
  <c r="U313" i="7" s="1"/>
  <c r="V313" i="7" s="1"/>
  <c r="T313" i="7"/>
  <c r="S313" i="7"/>
  <c r="R313" i="7"/>
  <c r="Q313" i="7"/>
  <c r="P313" i="7"/>
  <c r="I64" i="7"/>
  <c r="U64" i="7" s="1"/>
  <c r="V64" i="7" s="1"/>
  <c r="T64" i="7"/>
  <c r="S64" i="7"/>
  <c r="R64" i="7"/>
  <c r="Q64" i="7"/>
  <c r="P64" i="7"/>
  <c r="I94" i="7"/>
  <c r="U94" i="7" s="1"/>
  <c r="V94" i="7" s="1"/>
  <c r="T94" i="7"/>
  <c r="S94" i="7"/>
  <c r="R94" i="7"/>
  <c r="Q94" i="7"/>
  <c r="P94" i="7"/>
  <c r="I82" i="7"/>
  <c r="U82" i="7" s="1"/>
  <c r="V82" i="7" s="1"/>
  <c r="T82" i="7"/>
  <c r="S82" i="7"/>
  <c r="R82" i="7"/>
  <c r="Q82" i="7"/>
  <c r="P82" i="7"/>
  <c r="I214" i="7"/>
  <c r="U214" i="7" s="1"/>
  <c r="V214" i="7" s="1"/>
  <c r="T214" i="7"/>
  <c r="S214" i="7"/>
  <c r="R214" i="7"/>
  <c r="Q214" i="7"/>
  <c r="P214" i="7"/>
  <c r="I83" i="7"/>
  <c r="U83" i="7" s="1"/>
  <c r="V83" i="7" s="1"/>
  <c r="T83" i="7"/>
  <c r="S83" i="7"/>
  <c r="R83" i="7"/>
  <c r="Q83" i="7"/>
  <c r="P83" i="7"/>
  <c r="I19" i="7"/>
  <c r="U19" i="7" s="1"/>
  <c r="V19" i="7" s="1"/>
  <c r="T19" i="7"/>
  <c r="S19" i="7"/>
  <c r="R19" i="7"/>
  <c r="Q19" i="7"/>
  <c r="P19" i="7"/>
  <c r="I143" i="7"/>
  <c r="U143" i="7" s="1"/>
  <c r="V143" i="7" s="1"/>
  <c r="T143" i="7"/>
  <c r="S143" i="7"/>
  <c r="R143" i="7"/>
  <c r="Q143" i="7"/>
  <c r="P143" i="7"/>
  <c r="I125" i="7"/>
  <c r="U125" i="7" s="1"/>
  <c r="V125" i="7" s="1"/>
  <c r="T125" i="7"/>
  <c r="S125" i="7"/>
  <c r="R125" i="7"/>
  <c r="Q125" i="7"/>
  <c r="P125" i="7"/>
  <c r="I38" i="7"/>
  <c r="U38" i="7" s="1"/>
  <c r="V38" i="7" s="1"/>
  <c r="T38" i="7"/>
  <c r="S38" i="7"/>
  <c r="R38" i="7"/>
  <c r="Q38" i="7"/>
  <c r="P38" i="7"/>
  <c r="I175" i="7"/>
  <c r="U175" i="7" s="1"/>
  <c r="V175" i="7" s="1"/>
  <c r="T175" i="7"/>
  <c r="S175" i="7"/>
  <c r="R175" i="7"/>
  <c r="Q175" i="7"/>
  <c r="P175" i="7"/>
  <c r="I116" i="7"/>
  <c r="U116" i="7" s="1"/>
  <c r="V116" i="7" s="1"/>
  <c r="T116" i="7"/>
  <c r="S116" i="7"/>
  <c r="R116" i="7"/>
  <c r="Q116" i="7"/>
  <c r="P116" i="7"/>
  <c r="I14" i="7"/>
  <c r="U14" i="7" s="1"/>
  <c r="V14" i="7" s="1"/>
  <c r="T14" i="7"/>
  <c r="S14" i="7"/>
  <c r="R14" i="7"/>
  <c r="Q14" i="7"/>
  <c r="P14" i="7"/>
  <c r="I216" i="7"/>
  <c r="U216" i="7" s="1"/>
  <c r="V216" i="7" s="1"/>
  <c r="T216" i="7"/>
  <c r="S216" i="7"/>
  <c r="R216" i="7"/>
  <c r="Q216" i="7"/>
  <c r="P216" i="7"/>
  <c r="I36" i="7"/>
  <c r="U36" i="7" s="1"/>
  <c r="V36" i="7" s="1"/>
  <c r="T36" i="7"/>
  <c r="S36" i="7"/>
  <c r="R36" i="7"/>
  <c r="Q36" i="7"/>
  <c r="P36" i="7"/>
  <c r="I2" i="7"/>
  <c r="U2" i="7" s="1"/>
  <c r="V2" i="7" s="1"/>
  <c r="T2" i="7"/>
  <c r="S2" i="7"/>
  <c r="R2" i="7"/>
  <c r="Q2" i="7"/>
  <c r="P2" i="7"/>
  <c r="I97" i="7"/>
  <c r="U97" i="7" s="1"/>
  <c r="V97" i="7" s="1"/>
  <c r="T97" i="7"/>
  <c r="S97" i="7"/>
  <c r="R97" i="7"/>
  <c r="Q97" i="7"/>
  <c r="P97" i="7"/>
  <c r="I95" i="7"/>
  <c r="U95" i="7" s="1"/>
  <c r="V95" i="7" s="1"/>
  <c r="T95" i="7"/>
  <c r="S95" i="7"/>
  <c r="R95" i="7"/>
  <c r="Q95" i="7"/>
  <c r="P95" i="7"/>
  <c r="I163" i="7"/>
  <c r="U163" i="7" s="1"/>
  <c r="V163" i="7" s="1"/>
  <c r="T163" i="7"/>
  <c r="S163" i="7"/>
  <c r="R163" i="7"/>
  <c r="Q163" i="7"/>
  <c r="P163" i="7"/>
  <c r="I172" i="7"/>
  <c r="U172" i="7" s="1"/>
  <c r="V172" i="7" s="1"/>
  <c r="T172" i="7"/>
  <c r="S172" i="7"/>
  <c r="R172" i="7"/>
  <c r="Q172" i="7"/>
  <c r="P172" i="7"/>
  <c r="I113" i="7"/>
  <c r="U113" i="7" s="1"/>
  <c r="V113" i="7" s="1"/>
  <c r="T113" i="7"/>
  <c r="S113" i="7"/>
  <c r="R113" i="7"/>
  <c r="Q113" i="7"/>
  <c r="P113" i="7"/>
  <c r="I189" i="7"/>
  <c r="U189" i="7" s="1"/>
  <c r="V189" i="7" s="1"/>
  <c r="T189" i="7"/>
  <c r="S189" i="7"/>
  <c r="R189" i="7"/>
  <c r="Q189" i="7"/>
  <c r="P189" i="7"/>
  <c r="I246" i="7"/>
  <c r="U246" i="7" s="1"/>
  <c r="V246" i="7" s="1"/>
  <c r="T246" i="7"/>
  <c r="S246" i="7"/>
  <c r="R246" i="7"/>
  <c r="Q246" i="7"/>
  <c r="P246" i="7"/>
  <c r="I127" i="7"/>
  <c r="U127" i="7" s="1"/>
  <c r="V127" i="7" s="1"/>
  <c r="T127" i="7"/>
  <c r="S127" i="7"/>
  <c r="R127" i="7"/>
  <c r="Q127" i="7"/>
  <c r="P127" i="7"/>
  <c r="I98" i="7"/>
  <c r="U98" i="7" s="1"/>
  <c r="V98" i="7" s="1"/>
  <c r="T98" i="7"/>
  <c r="S98" i="7"/>
  <c r="R98" i="7"/>
  <c r="Q98" i="7"/>
  <c r="P98" i="7"/>
  <c r="I80" i="7"/>
  <c r="U80" i="7" s="1"/>
  <c r="V80" i="7" s="1"/>
  <c r="T80" i="7"/>
  <c r="S80" i="7"/>
  <c r="R80" i="7"/>
  <c r="Q80" i="7"/>
  <c r="P80" i="7"/>
  <c r="I79" i="7"/>
  <c r="U79" i="7" s="1"/>
  <c r="V79" i="7" s="1"/>
  <c r="T79" i="7"/>
  <c r="S79" i="7"/>
  <c r="R79" i="7"/>
  <c r="Q79" i="7"/>
  <c r="P79" i="7"/>
  <c r="I50" i="7"/>
  <c r="U50" i="7" s="1"/>
  <c r="V50" i="7" s="1"/>
  <c r="T50" i="7"/>
  <c r="S50" i="7"/>
  <c r="R50" i="7"/>
  <c r="Q50" i="7"/>
  <c r="P50" i="7"/>
  <c r="I40" i="7"/>
  <c r="U40" i="7" s="1"/>
  <c r="V40" i="7" s="1"/>
  <c r="T40" i="7"/>
  <c r="S40" i="7"/>
  <c r="R40" i="7"/>
  <c r="Q40" i="7"/>
  <c r="P40" i="7"/>
  <c r="I133" i="7"/>
  <c r="U133" i="7" s="1"/>
  <c r="V133" i="7" s="1"/>
  <c r="T133" i="7"/>
  <c r="S133" i="7"/>
  <c r="R133" i="7"/>
  <c r="Q133" i="7"/>
  <c r="P133" i="7"/>
  <c r="I192" i="7"/>
  <c r="U192" i="7" s="1"/>
  <c r="V192" i="7" s="1"/>
  <c r="T192" i="7"/>
  <c r="S192" i="7"/>
  <c r="R192" i="7"/>
  <c r="Q192" i="7"/>
  <c r="P192" i="7"/>
  <c r="I210" i="7"/>
  <c r="U210" i="7" s="1"/>
  <c r="V210" i="7" s="1"/>
  <c r="T210" i="7"/>
  <c r="S210" i="7"/>
  <c r="R210" i="7"/>
  <c r="Q210" i="7"/>
  <c r="P210" i="7"/>
  <c r="I300" i="7"/>
  <c r="U300" i="7" s="1"/>
  <c r="V300" i="7" s="1"/>
  <c r="T300" i="7"/>
  <c r="S300" i="7"/>
  <c r="R300" i="7"/>
  <c r="Q300" i="7"/>
  <c r="P300" i="7"/>
  <c r="I146" i="7"/>
  <c r="U146" i="7" s="1"/>
  <c r="V146" i="7" s="1"/>
  <c r="T146" i="7"/>
  <c r="S146" i="7"/>
  <c r="R146" i="7"/>
  <c r="Q146" i="7"/>
  <c r="P146" i="7"/>
  <c r="I132" i="7"/>
  <c r="U132" i="7" s="1"/>
  <c r="V132" i="7" s="1"/>
  <c r="T132" i="7"/>
  <c r="S132" i="7"/>
  <c r="R132" i="7"/>
  <c r="Q132" i="7"/>
  <c r="P132" i="7"/>
  <c r="I16" i="7"/>
  <c r="U16" i="7" s="1"/>
  <c r="V16" i="7" s="1"/>
  <c r="T16" i="7"/>
  <c r="S16" i="7"/>
  <c r="R16" i="7"/>
  <c r="Q16" i="7"/>
  <c r="P16" i="7"/>
  <c r="I56" i="7"/>
  <c r="U56" i="7" s="1"/>
  <c r="V56" i="7" s="1"/>
  <c r="T56" i="7"/>
  <c r="S56" i="7"/>
  <c r="R56" i="7"/>
  <c r="Q56" i="7"/>
  <c r="P56" i="7"/>
  <c r="I90" i="7"/>
  <c r="U90" i="7" s="1"/>
  <c r="V90" i="7" s="1"/>
  <c r="T90" i="7"/>
  <c r="S90" i="7"/>
  <c r="R90" i="7"/>
  <c r="Q90" i="7"/>
  <c r="P90" i="7"/>
  <c r="I266" i="7"/>
  <c r="U266" i="7" s="1"/>
  <c r="V266" i="7" s="1"/>
  <c r="T266" i="7"/>
  <c r="S266" i="7"/>
  <c r="R266" i="7"/>
  <c r="Q266" i="7"/>
  <c r="P266" i="7"/>
  <c r="I44" i="7"/>
  <c r="U44" i="7" s="1"/>
  <c r="V44" i="7" s="1"/>
  <c r="T44" i="7"/>
  <c r="S44" i="7"/>
  <c r="R44" i="7"/>
  <c r="Q44" i="7"/>
  <c r="P44" i="7"/>
  <c r="I288" i="7"/>
  <c r="U288" i="7" s="1"/>
  <c r="V288" i="7" s="1"/>
  <c r="T288" i="7"/>
  <c r="S288" i="7"/>
  <c r="R288" i="7"/>
  <c r="Q288" i="7"/>
  <c r="P288" i="7"/>
  <c r="I121" i="7"/>
  <c r="U121" i="7" s="1"/>
  <c r="V121" i="7" s="1"/>
  <c r="T121" i="7"/>
  <c r="S121" i="7"/>
  <c r="R121" i="7"/>
  <c r="Q121" i="7"/>
  <c r="P121" i="7"/>
  <c r="I260" i="7"/>
  <c r="U260" i="7" s="1"/>
  <c r="V260" i="7" s="1"/>
  <c r="T260" i="7"/>
  <c r="S260" i="7"/>
  <c r="R260" i="7"/>
  <c r="Q260" i="7"/>
  <c r="P260" i="7"/>
  <c r="I156" i="7"/>
  <c r="U156" i="7" s="1"/>
  <c r="V156" i="7" s="1"/>
  <c r="T156" i="7"/>
  <c r="S156" i="7"/>
  <c r="R156" i="7"/>
  <c r="Q156" i="7"/>
  <c r="P156" i="7"/>
  <c r="I91" i="7"/>
  <c r="U91" i="7" s="1"/>
  <c r="V91" i="7" s="1"/>
  <c r="T91" i="7"/>
  <c r="S91" i="7"/>
  <c r="R91" i="7"/>
  <c r="Q91" i="7"/>
  <c r="P91" i="7"/>
  <c r="I255" i="7"/>
  <c r="U255" i="7" s="1"/>
  <c r="V255" i="7" s="1"/>
  <c r="T255" i="7"/>
  <c r="S255" i="7"/>
  <c r="R255" i="7"/>
  <c r="Q255" i="7"/>
  <c r="P255" i="7"/>
  <c r="I168" i="7"/>
  <c r="U168" i="7" s="1"/>
  <c r="V168" i="7" s="1"/>
  <c r="T168" i="7"/>
  <c r="S168" i="7"/>
  <c r="R168" i="7"/>
  <c r="Q168" i="7"/>
  <c r="P168" i="7"/>
  <c r="I153" i="7"/>
  <c r="U153" i="7" s="1"/>
  <c r="V153" i="7" s="1"/>
  <c r="T153" i="7"/>
  <c r="S153" i="7"/>
  <c r="R153" i="7"/>
  <c r="Q153" i="7"/>
  <c r="P153" i="7"/>
  <c r="I131" i="7"/>
  <c r="U131" i="7" s="1"/>
  <c r="V131" i="7" s="1"/>
  <c r="T131" i="7"/>
  <c r="S131" i="7"/>
  <c r="R131" i="7"/>
  <c r="Q131" i="7"/>
  <c r="P131" i="7"/>
  <c r="I107" i="7"/>
  <c r="U107" i="7" s="1"/>
  <c r="V107" i="7" s="1"/>
  <c r="T107" i="7"/>
  <c r="S107" i="7"/>
  <c r="R107" i="7"/>
  <c r="Q107" i="7"/>
  <c r="P107" i="7"/>
  <c r="I31" i="7"/>
  <c r="U31" i="7" s="1"/>
  <c r="V31" i="7" s="1"/>
  <c r="T31" i="7"/>
  <c r="S31" i="7"/>
  <c r="R31" i="7"/>
  <c r="Q31" i="7"/>
  <c r="P31" i="7"/>
  <c r="I138" i="7"/>
  <c r="U138" i="7" s="1"/>
  <c r="V138" i="7" s="1"/>
  <c r="T138" i="7"/>
  <c r="S138" i="7"/>
  <c r="R138" i="7"/>
  <c r="Q138" i="7"/>
  <c r="P138" i="7"/>
  <c r="I55" i="7"/>
  <c r="U55" i="7" s="1"/>
  <c r="V55" i="7" s="1"/>
  <c r="T55" i="7"/>
  <c r="S55" i="7"/>
  <c r="R55" i="7"/>
  <c r="Q55" i="7"/>
  <c r="P55" i="7"/>
  <c r="I148" i="7"/>
  <c r="U148" i="7" s="1"/>
  <c r="V148" i="7" s="1"/>
  <c r="T148" i="7"/>
  <c r="S148" i="7"/>
  <c r="R148" i="7"/>
  <c r="Q148" i="7"/>
  <c r="P148" i="7"/>
  <c r="I195" i="7"/>
  <c r="U195" i="7" s="1"/>
  <c r="V195" i="7" s="1"/>
  <c r="T195" i="7"/>
  <c r="S195" i="7"/>
  <c r="R195" i="7"/>
  <c r="Q195" i="7"/>
  <c r="P195" i="7"/>
  <c r="I66" i="7"/>
  <c r="U66" i="7" s="1"/>
  <c r="V66" i="7" s="1"/>
  <c r="T66" i="7"/>
  <c r="S66" i="7"/>
  <c r="R66" i="7"/>
  <c r="Q66" i="7"/>
  <c r="P66" i="7"/>
  <c r="I71" i="7"/>
  <c r="U71" i="7" s="1"/>
  <c r="V71" i="7" s="1"/>
  <c r="T71" i="7"/>
  <c r="S71" i="7"/>
  <c r="R71" i="7"/>
  <c r="Q71" i="7"/>
  <c r="P71" i="7"/>
  <c r="I206" i="7"/>
  <c r="U206" i="7" s="1"/>
  <c r="V206" i="7" s="1"/>
  <c r="T206" i="7"/>
  <c r="S206" i="7"/>
  <c r="R206" i="7"/>
  <c r="Q206" i="7"/>
  <c r="P206" i="7"/>
  <c r="I205" i="7"/>
  <c r="U205" i="7" s="1"/>
  <c r="V205" i="7" s="1"/>
  <c r="T205" i="7"/>
  <c r="S205" i="7"/>
  <c r="R205" i="7"/>
  <c r="Q205" i="7"/>
  <c r="P205" i="7"/>
  <c r="I301" i="7"/>
  <c r="U301" i="7" s="1"/>
  <c r="V301" i="7" s="1"/>
  <c r="T301" i="7"/>
  <c r="S301" i="7"/>
  <c r="R301" i="7"/>
  <c r="Q301" i="7"/>
  <c r="P301" i="7"/>
  <c r="I124" i="7"/>
  <c r="U124" i="7" s="1"/>
  <c r="V124" i="7" s="1"/>
  <c r="T124" i="7"/>
  <c r="S124" i="7"/>
  <c r="R124" i="7"/>
  <c r="Q124" i="7"/>
  <c r="P124" i="7"/>
  <c r="I312" i="7"/>
  <c r="U312" i="7" s="1"/>
  <c r="V312" i="7" s="1"/>
  <c r="T312" i="7"/>
  <c r="S312" i="7"/>
  <c r="R312" i="7"/>
  <c r="Q312" i="7"/>
  <c r="P312" i="7"/>
  <c r="I299" i="7"/>
  <c r="U299" i="7" s="1"/>
  <c r="V299" i="7" s="1"/>
  <c r="T299" i="7"/>
  <c r="S299" i="7"/>
  <c r="R299" i="7"/>
  <c r="Q299" i="7"/>
  <c r="P299" i="7"/>
  <c r="I51" i="7"/>
  <c r="U51" i="7" s="1"/>
  <c r="V51" i="7" s="1"/>
  <c r="T51" i="7"/>
  <c r="S51" i="7"/>
  <c r="R51" i="7"/>
  <c r="Q51" i="7"/>
  <c r="P51" i="7"/>
  <c r="I240" i="7"/>
  <c r="U240" i="7" s="1"/>
  <c r="V240" i="7" s="1"/>
  <c r="T240" i="7"/>
  <c r="S240" i="7"/>
  <c r="R240" i="7"/>
  <c r="Q240" i="7"/>
  <c r="P240" i="7"/>
  <c r="I227" i="7"/>
  <c r="U227" i="7" s="1"/>
  <c r="V227" i="7" s="1"/>
  <c r="T227" i="7"/>
  <c r="S227" i="7"/>
  <c r="R227" i="7"/>
  <c r="Q227" i="7"/>
  <c r="P227" i="7"/>
  <c r="I274" i="7"/>
  <c r="U274" i="7" s="1"/>
  <c r="V274" i="7" s="1"/>
  <c r="T274" i="7"/>
  <c r="S274" i="7"/>
  <c r="R274" i="7"/>
  <c r="Q274" i="7"/>
  <c r="P274" i="7"/>
  <c r="I5" i="7"/>
  <c r="U5" i="7" s="1"/>
  <c r="V5" i="7" s="1"/>
  <c r="T5" i="7"/>
  <c r="S5" i="7"/>
  <c r="R5" i="7"/>
  <c r="Q5" i="7"/>
  <c r="P5" i="7"/>
  <c r="I200" i="7"/>
  <c r="U200" i="7" s="1"/>
  <c r="V200" i="7" s="1"/>
  <c r="T200" i="7"/>
  <c r="S200" i="7"/>
  <c r="R200" i="7"/>
  <c r="Q200" i="7"/>
  <c r="P200" i="7"/>
  <c r="I23" i="7"/>
  <c r="U23" i="7" s="1"/>
  <c r="V23" i="7" s="1"/>
  <c r="T23" i="7"/>
  <c r="S23" i="7"/>
  <c r="R23" i="7"/>
  <c r="Q23" i="7"/>
  <c r="P23" i="7"/>
  <c r="I269" i="7"/>
  <c r="U269" i="7" s="1"/>
  <c r="V269" i="7" s="1"/>
  <c r="T269" i="7"/>
  <c r="S269" i="7"/>
  <c r="R269" i="7"/>
  <c r="Q269" i="7"/>
  <c r="P269" i="7"/>
  <c r="I268" i="7"/>
  <c r="U268" i="7" s="1"/>
  <c r="V268" i="7" s="1"/>
  <c r="T268" i="7"/>
  <c r="S268" i="7"/>
  <c r="R268" i="7"/>
  <c r="Q268" i="7"/>
  <c r="P268" i="7"/>
  <c r="I58" i="7"/>
  <c r="U58" i="7" s="1"/>
  <c r="V58" i="7" s="1"/>
  <c r="T58" i="7"/>
  <c r="S58" i="7"/>
  <c r="R58" i="7"/>
  <c r="Q58" i="7"/>
  <c r="P58" i="7"/>
  <c r="I309" i="7"/>
  <c r="U309" i="7" s="1"/>
  <c r="V309" i="7" s="1"/>
  <c r="T309" i="7"/>
  <c r="S309" i="7"/>
  <c r="R309" i="7"/>
  <c r="Q309" i="7"/>
  <c r="P309" i="7"/>
  <c r="I150" i="7"/>
  <c r="U150" i="7" s="1"/>
  <c r="V150" i="7" s="1"/>
  <c r="T150" i="7"/>
  <c r="S150" i="7"/>
  <c r="R150" i="7"/>
  <c r="Q150" i="7"/>
  <c r="P150" i="7"/>
  <c r="I177" i="7"/>
  <c r="U177" i="7" s="1"/>
  <c r="V177" i="7" s="1"/>
  <c r="T177" i="7"/>
  <c r="S177" i="7"/>
  <c r="R177" i="7"/>
  <c r="Q177" i="7"/>
  <c r="P177" i="7"/>
  <c r="I270" i="7"/>
  <c r="U270" i="7" s="1"/>
  <c r="V270" i="7" s="1"/>
  <c r="T270" i="7"/>
  <c r="S270" i="7"/>
  <c r="R270" i="7"/>
  <c r="Q270" i="7"/>
  <c r="P270" i="7"/>
  <c r="I289" i="7"/>
  <c r="U289" i="7" s="1"/>
  <c r="V289" i="7" s="1"/>
  <c r="T289" i="7"/>
  <c r="S289" i="7"/>
  <c r="R289" i="7"/>
  <c r="Q289" i="7"/>
  <c r="P289" i="7"/>
  <c r="I228" i="7"/>
  <c r="U228" i="7" s="1"/>
  <c r="V228" i="7" s="1"/>
  <c r="T228" i="7"/>
  <c r="S228" i="7"/>
  <c r="R228" i="7"/>
  <c r="Q228" i="7"/>
  <c r="P228" i="7"/>
  <c r="I129" i="7"/>
  <c r="U129" i="7" s="1"/>
  <c r="V129" i="7" s="1"/>
  <c r="T129" i="7"/>
  <c r="S129" i="7"/>
  <c r="R129" i="7"/>
  <c r="Q129" i="7"/>
  <c r="P129" i="7"/>
  <c r="I68" i="7"/>
  <c r="U68" i="7" s="1"/>
  <c r="V68" i="7" s="1"/>
  <c r="T68" i="7"/>
  <c r="S68" i="7"/>
  <c r="R68" i="7"/>
  <c r="Q68" i="7"/>
  <c r="P68" i="7"/>
  <c r="I134" i="7"/>
  <c r="U134" i="7" s="1"/>
  <c r="V134" i="7" s="1"/>
  <c r="T134" i="7"/>
  <c r="S134" i="7"/>
  <c r="R134" i="7"/>
  <c r="Q134" i="7"/>
  <c r="P134" i="7"/>
  <c r="I29" i="7"/>
  <c r="U29" i="7" s="1"/>
  <c r="V29" i="7" s="1"/>
  <c r="T29" i="7"/>
  <c r="S29" i="7"/>
  <c r="R29" i="7"/>
  <c r="Q29" i="7"/>
  <c r="P29" i="7"/>
  <c r="I104" i="7"/>
  <c r="U104" i="7" s="1"/>
  <c r="V104" i="7" s="1"/>
  <c r="T104" i="7"/>
  <c r="S104" i="7"/>
  <c r="R104" i="7"/>
  <c r="Q104" i="7"/>
  <c r="P104" i="7"/>
  <c r="I226" i="7"/>
  <c r="U226" i="7" s="1"/>
  <c r="V226" i="7" s="1"/>
  <c r="T226" i="7"/>
  <c r="S226" i="7"/>
  <c r="R226" i="7"/>
  <c r="Q226" i="7"/>
  <c r="P226" i="7"/>
  <c r="I147" i="7"/>
  <c r="U147" i="7" s="1"/>
  <c r="V147" i="7" s="1"/>
  <c r="T147" i="7"/>
  <c r="S147" i="7"/>
  <c r="R147" i="7"/>
  <c r="Q147" i="7"/>
  <c r="P147" i="7"/>
  <c r="I149" i="7"/>
  <c r="U149" i="7" s="1"/>
  <c r="V149" i="7" s="1"/>
  <c r="T149" i="7"/>
  <c r="S149" i="7"/>
  <c r="R149" i="7"/>
  <c r="Q149" i="7"/>
  <c r="P149" i="7"/>
  <c r="I141" i="7"/>
  <c r="U141" i="7" s="1"/>
  <c r="V141" i="7" s="1"/>
  <c r="T141" i="7"/>
  <c r="S141" i="7"/>
  <c r="R141" i="7"/>
  <c r="Q141" i="7"/>
  <c r="P141" i="7"/>
  <c r="I140" i="7"/>
  <c r="U140" i="7" s="1"/>
  <c r="V140" i="7" s="1"/>
  <c r="T140" i="7"/>
  <c r="S140" i="7"/>
  <c r="R140" i="7"/>
  <c r="Q140" i="7"/>
  <c r="P140" i="7"/>
  <c r="I17" i="7"/>
  <c r="U17" i="7" s="1"/>
  <c r="V17" i="7" s="1"/>
  <c r="T17" i="7"/>
  <c r="S17" i="7"/>
  <c r="R17" i="7"/>
  <c r="Q17" i="7"/>
  <c r="P17" i="7"/>
  <c r="I46" i="7"/>
  <c r="U46" i="7" s="1"/>
  <c r="V46" i="7" s="1"/>
  <c r="T46" i="7"/>
  <c r="S46" i="7"/>
  <c r="R46" i="7"/>
  <c r="Q46" i="7"/>
  <c r="P46" i="7"/>
  <c r="I12" i="7"/>
  <c r="U12" i="7" s="1"/>
  <c r="V12" i="7" s="1"/>
  <c r="T12" i="7"/>
  <c r="S12" i="7"/>
  <c r="R12" i="7"/>
  <c r="Q12" i="7"/>
  <c r="P12" i="7"/>
  <c r="I63" i="7"/>
  <c r="U63" i="7" s="1"/>
  <c r="V63" i="7" s="1"/>
  <c r="T63" i="7"/>
  <c r="S63" i="7"/>
  <c r="R63" i="7"/>
  <c r="Q63" i="7"/>
  <c r="P63" i="7"/>
  <c r="I224" i="7"/>
  <c r="U224" i="7" s="1"/>
  <c r="V224" i="7" s="1"/>
  <c r="T224" i="7"/>
  <c r="S224" i="7"/>
  <c r="R224" i="7"/>
  <c r="Q224" i="7"/>
  <c r="P224" i="7"/>
  <c r="I243" i="7"/>
  <c r="U243" i="7" s="1"/>
  <c r="V243" i="7" s="1"/>
  <c r="T243" i="7"/>
  <c r="S243" i="7"/>
  <c r="R243" i="7"/>
  <c r="Q243" i="7"/>
  <c r="P243" i="7"/>
  <c r="I254" i="7"/>
  <c r="U254" i="7" s="1"/>
  <c r="V254" i="7" s="1"/>
  <c r="T254" i="7"/>
  <c r="S254" i="7"/>
  <c r="R254" i="7"/>
  <c r="Q254" i="7"/>
  <c r="P254" i="7"/>
  <c r="I135" i="7"/>
  <c r="U135" i="7" s="1"/>
  <c r="V135" i="7" s="1"/>
  <c r="T135" i="7"/>
  <c r="S135" i="7"/>
  <c r="R135" i="7"/>
  <c r="Q135" i="7"/>
  <c r="P135" i="7"/>
  <c r="I234" i="7"/>
  <c r="U234" i="7" s="1"/>
  <c r="V234" i="7" s="1"/>
  <c r="T234" i="7"/>
  <c r="S234" i="7"/>
  <c r="R234" i="7"/>
  <c r="Q234" i="7"/>
  <c r="P234" i="7"/>
  <c r="I99" i="7"/>
  <c r="U99" i="7" s="1"/>
  <c r="V99" i="7" s="1"/>
  <c r="T99" i="7"/>
  <c r="S99" i="7"/>
  <c r="R99" i="7"/>
  <c r="Q99" i="7"/>
  <c r="P99" i="7"/>
  <c r="I311" i="7"/>
  <c r="U311" i="7" s="1"/>
  <c r="V311" i="7" s="1"/>
  <c r="T311" i="7"/>
  <c r="S311" i="7"/>
  <c r="R311" i="7"/>
  <c r="Q311" i="7"/>
  <c r="P311" i="7"/>
  <c r="I277" i="7"/>
  <c r="U277" i="7" s="1"/>
  <c r="V277" i="7" s="1"/>
  <c r="T277" i="7"/>
  <c r="S277" i="7"/>
  <c r="R277" i="7"/>
  <c r="Q277" i="7"/>
  <c r="P277" i="7"/>
  <c r="I158" i="7"/>
  <c r="U158" i="7" s="1"/>
  <c r="V158" i="7" s="1"/>
  <c r="T158" i="7"/>
  <c r="S158" i="7"/>
  <c r="R158" i="7"/>
  <c r="Q158" i="7"/>
  <c r="P158" i="7"/>
  <c r="I215" i="7"/>
  <c r="U215" i="7" s="1"/>
  <c r="V215" i="7" s="1"/>
  <c r="T215" i="7"/>
  <c r="S215" i="7"/>
  <c r="R215" i="7"/>
  <c r="Q215" i="7"/>
  <c r="P215" i="7"/>
  <c r="I253" i="7"/>
  <c r="U253" i="7" s="1"/>
  <c r="V253" i="7" s="1"/>
  <c r="T253" i="7"/>
  <c r="S253" i="7"/>
  <c r="R253" i="7"/>
  <c r="Q253" i="7"/>
  <c r="P253" i="7"/>
  <c r="I72" i="7"/>
  <c r="U72" i="7" s="1"/>
  <c r="V72" i="7" s="1"/>
  <c r="T72" i="7"/>
  <c r="S72" i="7"/>
  <c r="R72" i="7"/>
  <c r="Q72" i="7"/>
  <c r="P72" i="7"/>
  <c r="I167" i="7"/>
  <c r="U167" i="7" s="1"/>
  <c r="V167" i="7" s="1"/>
  <c r="T167" i="7"/>
  <c r="S167" i="7"/>
  <c r="R167" i="7"/>
  <c r="Q167" i="7"/>
  <c r="P167" i="7"/>
  <c r="I183" i="7"/>
  <c r="U183" i="7" s="1"/>
  <c r="V183" i="7" s="1"/>
  <c r="T183" i="7"/>
  <c r="S183" i="7"/>
  <c r="R183" i="7"/>
  <c r="Q183" i="7"/>
  <c r="P183" i="7"/>
  <c r="I11" i="7"/>
  <c r="U11" i="7" s="1"/>
  <c r="V11" i="7" s="1"/>
  <c r="T11" i="7"/>
  <c r="S11" i="7"/>
  <c r="R11" i="7"/>
  <c r="Q11" i="7"/>
  <c r="P11" i="7"/>
  <c r="I276" i="7"/>
  <c r="U276" i="7" s="1"/>
  <c r="V276" i="7" s="1"/>
  <c r="T276" i="7"/>
  <c r="S276" i="7"/>
  <c r="R276" i="7"/>
  <c r="Q276" i="7"/>
  <c r="P276" i="7"/>
  <c r="I43" i="7"/>
  <c r="U43" i="7" s="1"/>
  <c r="V43" i="7" s="1"/>
  <c r="T43" i="7"/>
  <c r="S43" i="7"/>
  <c r="R43" i="7"/>
  <c r="Q43" i="7"/>
  <c r="P43" i="7"/>
  <c r="I28" i="7"/>
  <c r="U28" i="7" s="1"/>
  <c r="V28" i="7" s="1"/>
  <c r="T28" i="7"/>
  <c r="S28" i="7"/>
  <c r="R28" i="7"/>
  <c r="Q28" i="7"/>
  <c r="P28" i="7"/>
  <c r="I256" i="7"/>
  <c r="U256" i="7" s="1"/>
  <c r="V256" i="7" s="1"/>
  <c r="T256" i="7"/>
  <c r="S256" i="7"/>
  <c r="R256" i="7"/>
  <c r="Q256" i="7"/>
  <c r="P256" i="7"/>
  <c r="I208" i="7"/>
  <c r="U208" i="7" s="1"/>
  <c r="V208" i="7" s="1"/>
  <c r="T208" i="7"/>
  <c r="S208" i="7"/>
  <c r="R208" i="7"/>
  <c r="Q208" i="7"/>
  <c r="P208" i="7"/>
  <c r="I186" i="7"/>
  <c r="U186" i="7" s="1"/>
  <c r="V186" i="7" s="1"/>
  <c r="T186" i="7"/>
  <c r="S186" i="7"/>
  <c r="R186" i="7"/>
  <c r="Q186" i="7"/>
  <c r="P186" i="7"/>
  <c r="I281" i="7"/>
  <c r="U281" i="7" s="1"/>
  <c r="V281" i="7" s="1"/>
  <c r="T281" i="7"/>
  <c r="S281" i="7"/>
  <c r="R281" i="7"/>
  <c r="Q281" i="7"/>
  <c r="P281" i="7"/>
  <c r="I136" i="7"/>
  <c r="U136" i="7" s="1"/>
  <c r="V136" i="7" s="1"/>
  <c r="T136" i="7"/>
  <c r="S136" i="7"/>
  <c r="R136" i="7"/>
  <c r="Q136" i="7"/>
  <c r="P136" i="7"/>
  <c r="I239" i="7"/>
  <c r="U239" i="7" s="1"/>
  <c r="V239" i="7" s="1"/>
  <c r="T239" i="7"/>
  <c r="S239" i="7"/>
  <c r="R239" i="7"/>
  <c r="Q239" i="7"/>
  <c r="P239" i="7"/>
  <c r="I109" i="7"/>
  <c r="U109" i="7" s="1"/>
  <c r="V109" i="7" s="1"/>
  <c r="T109" i="7"/>
  <c r="S109" i="7"/>
  <c r="R109" i="7"/>
  <c r="Q109" i="7"/>
  <c r="P109" i="7"/>
  <c r="I76" i="7"/>
  <c r="U76" i="7" s="1"/>
  <c r="V76" i="7" s="1"/>
  <c r="T76" i="7"/>
  <c r="S76" i="7"/>
  <c r="R76" i="7"/>
  <c r="Q76" i="7"/>
  <c r="P76" i="7"/>
  <c r="I152" i="7"/>
  <c r="U152" i="7" s="1"/>
  <c r="V152" i="7" s="1"/>
  <c r="T152" i="7"/>
  <c r="S152" i="7"/>
  <c r="R152" i="7"/>
  <c r="Q152" i="7"/>
  <c r="P152" i="7"/>
  <c r="I247" i="7"/>
  <c r="U247" i="7" s="1"/>
  <c r="V247" i="7" s="1"/>
  <c r="T247" i="7"/>
  <c r="S247" i="7"/>
  <c r="R247" i="7"/>
  <c r="Q247" i="7"/>
  <c r="P247" i="7"/>
  <c r="I162" i="7"/>
  <c r="U162" i="7" s="1"/>
  <c r="V162" i="7" s="1"/>
  <c r="T162" i="7"/>
  <c r="S162" i="7"/>
  <c r="R162" i="7"/>
  <c r="Q162" i="7"/>
  <c r="P162" i="7"/>
  <c r="I181" i="7"/>
  <c r="U181" i="7" s="1"/>
  <c r="V181" i="7" s="1"/>
  <c r="T181" i="7"/>
  <c r="S181" i="7"/>
  <c r="R181" i="7"/>
  <c r="Q181" i="7"/>
  <c r="P181" i="7"/>
  <c r="I249" i="7"/>
  <c r="U249" i="7" s="1"/>
  <c r="V249" i="7" s="1"/>
  <c r="T249" i="7"/>
  <c r="S249" i="7"/>
  <c r="R249" i="7"/>
  <c r="Q249" i="7"/>
  <c r="P249" i="7"/>
  <c r="I265" i="7"/>
  <c r="U265" i="7" s="1"/>
  <c r="V265" i="7" s="1"/>
  <c r="T265" i="7"/>
  <c r="S265" i="7"/>
  <c r="R265" i="7"/>
  <c r="Q265" i="7"/>
  <c r="P265" i="7"/>
  <c r="I92" i="7"/>
  <c r="U92" i="7" s="1"/>
  <c r="V92" i="7" s="1"/>
  <c r="T92" i="7"/>
  <c r="S92" i="7"/>
  <c r="R92" i="7"/>
  <c r="Q92" i="7"/>
  <c r="P92" i="7"/>
  <c r="I42" i="7"/>
  <c r="U42" i="7" s="1"/>
  <c r="V42" i="7" s="1"/>
  <c r="T42" i="7"/>
  <c r="S42" i="7"/>
  <c r="R42" i="7"/>
  <c r="Q42" i="7"/>
  <c r="P42" i="7"/>
  <c r="I89" i="7"/>
  <c r="U89" i="7" s="1"/>
  <c r="V89" i="7" s="1"/>
  <c r="T89" i="7"/>
  <c r="S89" i="7"/>
  <c r="R89" i="7"/>
  <c r="Q89" i="7"/>
  <c r="P89" i="7"/>
  <c r="I52" i="7"/>
  <c r="U52" i="7" s="1"/>
  <c r="V52" i="7" s="1"/>
  <c r="T52" i="7"/>
  <c r="S52" i="7"/>
  <c r="R52" i="7"/>
  <c r="Q52" i="7"/>
  <c r="P52" i="7"/>
  <c r="I100" i="7"/>
  <c r="U100" i="7" s="1"/>
  <c r="V100" i="7" s="1"/>
  <c r="T100" i="7"/>
  <c r="S100" i="7"/>
  <c r="R100" i="7"/>
  <c r="Q100" i="7"/>
  <c r="P100" i="7"/>
  <c r="I27" i="7"/>
  <c r="U27" i="7" s="1"/>
  <c r="V27" i="7" s="1"/>
  <c r="T27" i="7"/>
  <c r="S27" i="7"/>
  <c r="R27" i="7"/>
  <c r="Q27" i="7"/>
  <c r="P27" i="7"/>
  <c r="I75" i="7"/>
  <c r="U75" i="7" s="1"/>
  <c r="V75" i="7" s="1"/>
  <c r="T75" i="7"/>
  <c r="S75" i="7"/>
  <c r="R75" i="7"/>
  <c r="Q75" i="7"/>
  <c r="P75" i="7"/>
  <c r="I302" i="7"/>
  <c r="U302" i="7" s="1"/>
  <c r="V302" i="7" s="1"/>
  <c r="T302" i="7"/>
  <c r="S302" i="7"/>
  <c r="R302" i="7"/>
  <c r="Q302" i="7"/>
  <c r="P302" i="7"/>
  <c r="I237" i="7"/>
  <c r="U237" i="7" s="1"/>
  <c r="V237" i="7" s="1"/>
  <c r="T237" i="7"/>
  <c r="S237" i="7"/>
  <c r="R237" i="7"/>
  <c r="Q237" i="7"/>
  <c r="P237" i="7"/>
  <c r="I185" i="7"/>
  <c r="U185" i="7" s="1"/>
  <c r="V185" i="7" s="1"/>
  <c r="T185" i="7"/>
  <c r="S185" i="7"/>
  <c r="R185" i="7"/>
  <c r="Q185" i="7"/>
  <c r="P185" i="7"/>
  <c r="I285" i="7"/>
  <c r="U285" i="7" s="1"/>
  <c r="V285" i="7" s="1"/>
  <c r="T285" i="7"/>
  <c r="S285" i="7"/>
  <c r="R285" i="7"/>
  <c r="Q285" i="7"/>
  <c r="P285" i="7"/>
  <c r="I283" i="7"/>
  <c r="U283" i="7" s="1"/>
  <c r="V283" i="7" s="1"/>
  <c r="T283" i="7"/>
  <c r="S283" i="7"/>
  <c r="R283" i="7"/>
  <c r="Q283" i="7"/>
  <c r="P283" i="7"/>
  <c r="I219" i="7"/>
  <c r="U219" i="7" s="1"/>
  <c r="V219" i="7" s="1"/>
  <c r="T219" i="7"/>
  <c r="S219" i="7"/>
  <c r="R219" i="7"/>
  <c r="Q219" i="7"/>
  <c r="P219" i="7"/>
  <c r="I298" i="7"/>
  <c r="U298" i="7" s="1"/>
  <c r="V298" i="7" s="1"/>
  <c r="T298" i="7"/>
  <c r="S298" i="7"/>
  <c r="R298" i="7"/>
  <c r="Q298" i="7"/>
  <c r="P298" i="7"/>
  <c r="I180" i="7"/>
  <c r="U180" i="7" s="1"/>
  <c r="V180" i="7" s="1"/>
  <c r="T180" i="7"/>
  <c r="S180" i="7"/>
  <c r="R180" i="7"/>
  <c r="Q180" i="7"/>
  <c r="P180" i="7"/>
  <c r="I103" i="7"/>
  <c r="U103" i="7" s="1"/>
  <c r="V103" i="7" s="1"/>
  <c r="T103" i="7"/>
  <c r="S103" i="7"/>
  <c r="R103" i="7"/>
  <c r="Q103" i="7"/>
  <c r="P103" i="7"/>
  <c r="I170" i="7"/>
  <c r="U170" i="7" s="1"/>
  <c r="V170" i="7" s="1"/>
  <c r="T170" i="7"/>
  <c r="S170" i="7"/>
  <c r="R170" i="7"/>
  <c r="Q170" i="7"/>
  <c r="P170" i="7"/>
  <c r="I39" i="7"/>
  <c r="U39" i="7" s="1"/>
  <c r="V39" i="7" s="1"/>
  <c r="T39" i="7"/>
  <c r="S39" i="7"/>
  <c r="R39" i="7"/>
  <c r="Q39" i="7"/>
  <c r="P39" i="7"/>
  <c r="I190" i="7"/>
  <c r="U190" i="7" s="1"/>
  <c r="V190" i="7" s="1"/>
  <c r="T190" i="7"/>
  <c r="S190" i="7"/>
  <c r="R190" i="7"/>
  <c r="Q190" i="7"/>
  <c r="P190" i="7"/>
  <c r="I6" i="7"/>
  <c r="U6" i="7" s="1"/>
  <c r="V6" i="7" s="1"/>
  <c r="T6" i="7"/>
  <c r="S6" i="7"/>
  <c r="R6" i="7"/>
  <c r="Q6" i="7"/>
  <c r="P6" i="7"/>
  <c r="I295" i="7"/>
  <c r="U295" i="7" s="1"/>
  <c r="V295" i="7" s="1"/>
  <c r="T295" i="7"/>
  <c r="S295" i="7"/>
  <c r="R295" i="7"/>
  <c r="Q295" i="7"/>
  <c r="P295" i="7"/>
  <c r="I248" i="7"/>
  <c r="U248" i="7" s="1"/>
  <c r="V248" i="7" s="1"/>
  <c r="T248" i="7"/>
  <c r="S248" i="7"/>
  <c r="R248" i="7"/>
  <c r="Q248" i="7"/>
  <c r="P248" i="7"/>
  <c r="I60" i="7"/>
  <c r="U60" i="7" s="1"/>
  <c r="V60" i="7" s="1"/>
  <c r="T60" i="7"/>
  <c r="S60" i="7"/>
  <c r="R60" i="7"/>
  <c r="Q60" i="7"/>
  <c r="P60" i="7"/>
  <c r="I282" i="7"/>
  <c r="U282" i="7" s="1"/>
  <c r="V282" i="7" s="1"/>
  <c r="T282" i="7"/>
  <c r="S282" i="7"/>
  <c r="R282" i="7"/>
  <c r="Q282" i="7"/>
  <c r="P282" i="7"/>
  <c r="I207" i="7"/>
  <c r="U207" i="7" s="1"/>
  <c r="V207" i="7" s="1"/>
  <c r="T207" i="7"/>
  <c r="S207" i="7"/>
  <c r="R207" i="7"/>
  <c r="Q207" i="7"/>
  <c r="P207" i="7"/>
  <c r="I303" i="7"/>
  <c r="U303" i="7" s="1"/>
  <c r="V303" i="7" s="1"/>
  <c r="T303" i="7"/>
  <c r="S303" i="7"/>
  <c r="R303" i="7"/>
  <c r="Q303" i="7"/>
  <c r="P303" i="7"/>
  <c r="I13" i="7"/>
  <c r="U13" i="7" s="1"/>
  <c r="V13" i="7" s="1"/>
  <c r="T13" i="7"/>
  <c r="S13" i="7"/>
  <c r="R13" i="7"/>
  <c r="Q13" i="7"/>
  <c r="P13" i="7"/>
  <c r="I184" i="7"/>
  <c r="U184" i="7" s="1"/>
  <c r="V184" i="7" s="1"/>
  <c r="T184" i="7"/>
  <c r="S184" i="7"/>
  <c r="R184" i="7"/>
  <c r="Q184" i="7"/>
  <c r="P184" i="7"/>
  <c r="I258" i="7"/>
  <c r="U258" i="7" s="1"/>
  <c r="V258" i="7" s="1"/>
  <c r="T258" i="7"/>
  <c r="S258" i="7"/>
  <c r="R258" i="7"/>
  <c r="Q258" i="7"/>
  <c r="P258" i="7"/>
  <c r="I280" i="7"/>
  <c r="U280" i="7" s="1"/>
  <c r="V280" i="7" s="1"/>
  <c r="T280" i="7"/>
  <c r="S280" i="7"/>
  <c r="R280" i="7"/>
  <c r="Q280" i="7"/>
  <c r="P280" i="7"/>
  <c r="I62" i="7"/>
  <c r="U62" i="7" s="1"/>
  <c r="V62" i="7" s="1"/>
  <c r="T62" i="7"/>
  <c r="S62" i="7"/>
  <c r="R62" i="7"/>
  <c r="Q62" i="7"/>
  <c r="P62" i="7"/>
  <c r="I57" i="7"/>
  <c r="U57" i="7" s="1"/>
  <c r="V57" i="7" s="1"/>
  <c r="T57" i="7"/>
  <c r="S57" i="7"/>
  <c r="R57" i="7"/>
  <c r="Q57" i="7"/>
  <c r="P57" i="7"/>
  <c r="I3" i="7"/>
  <c r="U3" i="7" s="1"/>
  <c r="V3" i="7" s="1"/>
  <c r="T3" i="7"/>
  <c r="S3" i="7"/>
  <c r="R3" i="7"/>
  <c r="Q3" i="7"/>
  <c r="P3" i="7"/>
  <c r="I250" i="7"/>
  <c r="U250" i="7" s="1"/>
  <c r="V250" i="7" s="1"/>
  <c r="T250" i="7"/>
  <c r="S250" i="7"/>
  <c r="R250" i="7"/>
  <c r="Q250" i="7"/>
  <c r="P250" i="7"/>
  <c r="I165" i="7"/>
  <c r="U165" i="7" s="1"/>
  <c r="V165" i="7" s="1"/>
  <c r="T165" i="7"/>
  <c r="S165" i="7"/>
  <c r="R165" i="7"/>
  <c r="Q165" i="7"/>
  <c r="P165" i="7"/>
  <c r="I86" i="7"/>
  <c r="U86" i="7" s="1"/>
  <c r="V86" i="7" s="1"/>
  <c r="T86" i="7"/>
  <c r="S86" i="7"/>
  <c r="R86" i="7"/>
  <c r="Q86" i="7"/>
  <c r="P86" i="7"/>
  <c r="I122" i="7"/>
  <c r="U122" i="7" s="1"/>
  <c r="V122" i="7" s="1"/>
  <c r="T122" i="7"/>
  <c r="S122" i="7"/>
  <c r="R122" i="7"/>
  <c r="Q122" i="7"/>
  <c r="P122" i="7"/>
  <c r="I10" i="7"/>
  <c r="U10" i="7" s="1"/>
  <c r="V10" i="7" s="1"/>
  <c r="T10" i="7"/>
  <c r="S10" i="7"/>
  <c r="R10" i="7"/>
  <c r="Q10" i="7"/>
  <c r="P10" i="7"/>
  <c r="I128" i="7"/>
  <c r="U128" i="7" s="1"/>
  <c r="V128" i="7" s="1"/>
  <c r="T128" i="7"/>
  <c r="S128" i="7"/>
  <c r="R128" i="7"/>
  <c r="Q128" i="7"/>
  <c r="P128" i="7"/>
  <c r="I45" i="7"/>
  <c r="U45" i="7" s="1"/>
  <c r="V45" i="7" s="1"/>
  <c r="T45" i="7"/>
  <c r="S45" i="7"/>
  <c r="R45" i="7"/>
  <c r="Q45" i="7"/>
  <c r="P45" i="7"/>
  <c r="I15" i="7"/>
  <c r="U15" i="7" s="1"/>
  <c r="V15" i="7" s="1"/>
  <c r="T15" i="7"/>
  <c r="S15" i="7"/>
  <c r="R15" i="7"/>
  <c r="Q15" i="7"/>
  <c r="P15" i="7"/>
  <c r="I106" i="7"/>
  <c r="U106" i="7" s="1"/>
  <c r="V106" i="7" s="1"/>
  <c r="T106" i="7"/>
  <c r="S106" i="7"/>
  <c r="R106" i="7"/>
  <c r="Q106" i="7"/>
  <c r="P106" i="7"/>
  <c r="I287" i="7"/>
  <c r="U287" i="7" s="1"/>
  <c r="V287" i="7" s="1"/>
  <c r="T287" i="7"/>
  <c r="S287" i="7"/>
  <c r="R287" i="7"/>
  <c r="Q287" i="7"/>
  <c r="P287" i="7"/>
  <c r="I78" i="7"/>
  <c r="U78" i="7" s="1"/>
  <c r="V78" i="7" s="1"/>
  <c r="T78" i="7"/>
  <c r="S78" i="7"/>
  <c r="R78" i="7"/>
  <c r="Q78" i="7"/>
  <c r="P78" i="7"/>
  <c r="I115" i="7"/>
  <c r="U115" i="7" s="1"/>
  <c r="V115" i="7" s="1"/>
  <c r="T115" i="7"/>
  <c r="S115" i="7"/>
  <c r="R115" i="7"/>
  <c r="Q115" i="7"/>
  <c r="P115" i="7"/>
  <c r="I198" i="7"/>
  <c r="U198" i="7" s="1"/>
  <c r="V198" i="7" s="1"/>
  <c r="T198" i="7"/>
  <c r="S198" i="7"/>
  <c r="R198" i="7"/>
  <c r="Q198" i="7"/>
  <c r="P198" i="7"/>
  <c r="I26" i="7"/>
  <c r="U26" i="7" s="1"/>
  <c r="V26" i="7" s="1"/>
  <c r="T26" i="7"/>
  <c r="S26" i="7"/>
  <c r="R26" i="7"/>
  <c r="Q26" i="7"/>
  <c r="P26" i="7"/>
  <c r="I209" i="7"/>
  <c r="U209" i="7" s="1"/>
  <c r="V209" i="7" s="1"/>
  <c r="T209" i="7"/>
  <c r="S209" i="7"/>
  <c r="R209" i="7"/>
  <c r="Q209" i="7"/>
  <c r="P209" i="7"/>
  <c r="I232" i="7"/>
  <c r="U232" i="7" s="1"/>
  <c r="V232" i="7" s="1"/>
  <c r="T232" i="7"/>
  <c r="S232" i="7"/>
  <c r="R232" i="7"/>
  <c r="Q232" i="7"/>
  <c r="P232" i="7"/>
  <c r="I33" i="7"/>
  <c r="U33" i="7" s="1"/>
  <c r="V33" i="7" s="1"/>
  <c r="T33" i="7"/>
  <c r="S33" i="7"/>
  <c r="R33" i="7"/>
  <c r="Q33" i="7"/>
  <c r="P33" i="7"/>
  <c r="I41" i="7"/>
  <c r="U41" i="7" s="1"/>
  <c r="V41" i="7" s="1"/>
  <c r="T41" i="7"/>
  <c r="S41" i="7"/>
  <c r="R41" i="7"/>
  <c r="Q41" i="7"/>
  <c r="P41" i="7"/>
  <c r="I217" i="7"/>
  <c r="U217" i="7" s="1"/>
  <c r="V217" i="7" s="1"/>
  <c r="T217" i="7"/>
  <c r="S217" i="7"/>
  <c r="R217" i="7"/>
  <c r="Q217" i="7"/>
  <c r="P217" i="7"/>
  <c r="I84" i="7"/>
  <c r="U84" i="7" s="1"/>
  <c r="V84" i="7" s="1"/>
  <c r="T84" i="7"/>
  <c r="S84" i="7"/>
  <c r="R84" i="7"/>
  <c r="Q84" i="7"/>
  <c r="P84" i="7"/>
  <c r="I105" i="7"/>
  <c r="U105" i="7" s="1"/>
  <c r="V105" i="7" s="1"/>
  <c r="T105" i="7"/>
  <c r="S105" i="7"/>
  <c r="R105" i="7"/>
  <c r="Q105" i="7"/>
  <c r="P105" i="7"/>
  <c r="I320" i="7"/>
  <c r="U320" i="7" s="1"/>
  <c r="V320" i="7" s="1"/>
  <c r="T320" i="7"/>
  <c r="S320" i="7"/>
  <c r="R320" i="7"/>
  <c r="Q320" i="7"/>
  <c r="P320" i="7"/>
  <c r="I69" i="7"/>
  <c r="U69" i="7" s="1"/>
  <c r="V69" i="7" s="1"/>
  <c r="T69" i="7"/>
  <c r="S69" i="7"/>
  <c r="R69" i="7"/>
  <c r="Q69" i="7"/>
  <c r="P69" i="7"/>
  <c r="I178" i="7"/>
  <c r="U178" i="7" s="1"/>
  <c r="V178" i="7" s="1"/>
  <c r="T178" i="7"/>
  <c r="S178" i="7"/>
  <c r="R178" i="7"/>
  <c r="Q178" i="7"/>
  <c r="P178" i="7"/>
  <c r="I157" i="7"/>
  <c r="U157" i="7" s="1"/>
  <c r="V157" i="7" s="1"/>
  <c r="T157" i="7"/>
  <c r="S157" i="7"/>
  <c r="R157" i="7"/>
  <c r="Q157" i="7"/>
  <c r="P157" i="7"/>
  <c r="I244" i="7"/>
  <c r="U244" i="7" s="1"/>
  <c r="V244" i="7" s="1"/>
  <c r="T244" i="7"/>
  <c r="S244" i="7"/>
  <c r="R244" i="7"/>
  <c r="Q244" i="7"/>
  <c r="P244" i="7"/>
  <c r="I117" i="7"/>
  <c r="U117" i="7" s="1"/>
  <c r="V117" i="7" s="1"/>
  <c r="T117" i="7"/>
  <c r="S117" i="7"/>
  <c r="R117" i="7"/>
  <c r="Q117" i="7"/>
  <c r="P117" i="7"/>
  <c r="I118" i="7"/>
  <c r="U118" i="7" s="1"/>
  <c r="V118" i="7" s="1"/>
  <c r="T118" i="7"/>
  <c r="S118" i="7"/>
  <c r="R118" i="7"/>
  <c r="Q118" i="7"/>
  <c r="P118" i="7"/>
  <c r="I18" i="7"/>
  <c r="U18" i="7" s="1"/>
  <c r="V18" i="7" s="1"/>
  <c r="T18" i="7"/>
  <c r="S18" i="7"/>
  <c r="R18" i="7"/>
  <c r="Q18" i="7"/>
  <c r="P18" i="7"/>
  <c r="I54" i="7"/>
  <c r="U54" i="7" s="1"/>
  <c r="V54" i="7" s="1"/>
  <c r="T54" i="7"/>
  <c r="S54" i="7"/>
  <c r="R54" i="7"/>
  <c r="Q54" i="7"/>
  <c r="P54" i="7"/>
  <c r="I251" i="7"/>
  <c r="U251" i="7" s="1"/>
  <c r="V251" i="7" s="1"/>
  <c r="T251" i="7"/>
  <c r="S251" i="7"/>
  <c r="R251" i="7"/>
  <c r="Q251" i="7"/>
  <c r="P251" i="7"/>
  <c r="I218" i="7"/>
  <c r="U218" i="7" s="1"/>
  <c r="V218" i="7" s="1"/>
  <c r="T218" i="7"/>
  <c r="S218" i="7"/>
  <c r="R218" i="7"/>
  <c r="Q218" i="7"/>
  <c r="P218" i="7"/>
  <c r="I30" i="7"/>
  <c r="U30" i="7" s="1"/>
  <c r="V30" i="7" s="1"/>
  <c r="T30" i="7"/>
  <c r="S30" i="7"/>
  <c r="R30" i="7"/>
  <c r="Q30" i="7"/>
  <c r="P30" i="7"/>
  <c r="I37" i="7"/>
  <c r="U37" i="7" s="1"/>
  <c r="V37" i="7" s="1"/>
  <c r="T37" i="7"/>
  <c r="S37" i="7"/>
  <c r="R37" i="7"/>
  <c r="Q37" i="7"/>
  <c r="P37" i="7"/>
  <c r="I151" i="7"/>
  <c r="U151" i="7" s="1"/>
  <c r="V151" i="7" s="1"/>
  <c r="T151" i="7"/>
  <c r="S151" i="7"/>
  <c r="R151" i="7"/>
  <c r="Q151" i="7"/>
  <c r="P151" i="7"/>
  <c r="I284" i="7"/>
  <c r="U284" i="7" s="1"/>
  <c r="V284" i="7" s="1"/>
  <c r="T284" i="7"/>
  <c r="S284" i="7"/>
  <c r="R284" i="7"/>
  <c r="Q284" i="7"/>
  <c r="P284" i="7"/>
  <c r="I25" i="7"/>
  <c r="U25" i="7" s="1"/>
  <c r="V25" i="7" s="1"/>
  <c r="T25" i="7"/>
  <c r="S25" i="7"/>
  <c r="R25" i="7"/>
  <c r="Q25" i="7"/>
  <c r="P25" i="7"/>
  <c r="I304" i="7"/>
  <c r="U304" i="7" s="1"/>
  <c r="V304" i="7" s="1"/>
  <c r="T304" i="7"/>
  <c r="S304" i="7"/>
  <c r="R304" i="7"/>
  <c r="Q304" i="7"/>
  <c r="P304" i="7"/>
  <c r="I176" i="7"/>
  <c r="U176" i="7" s="1"/>
  <c r="V176" i="7" s="1"/>
  <c r="T176" i="7"/>
  <c r="S176" i="7"/>
  <c r="R176" i="7"/>
  <c r="Q176" i="7"/>
  <c r="P176" i="7"/>
  <c r="I61" i="7"/>
  <c r="U61" i="7" s="1"/>
  <c r="V61" i="7" s="1"/>
  <c r="T61" i="7"/>
  <c r="S61" i="7"/>
  <c r="R61" i="7"/>
  <c r="Q61" i="7"/>
  <c r="P61" i="7"/>
  <c r="I123" i="7"/>
  <c r="U123" i="7" s="1"/>
  <c r="V123" i="7" s="1"/>
  <c r="T123" i="7"/>
  <c r="S123" i="7"/>
  <c r="R123" i="7"/>
  <c r="Q123" i="7"/>
  <c r="P123" i="7"/>
  <c r="I238" i="7"/>
  <c r="U238" i="7" s="1"/>
  <c r="V238" i="7" s="1"/>
  <c r="T238" i="7"/>
  <c r="S238" i="7"/>
  <c r="R238" i="7"/>
  <c r="Q238" i="7"/>
  <c r="P238" i="7"/>
  <c r="I22" i="7"/>
  <c r="U22" i="7" s="1"/>
  <c r="V22" i="7" s="1"/>
  <c r="T22" i="7"/>
  <c r="S22" i="7"/>
  <c r="R22" i="7"/>
  <c r="Q22" i="7"/>
  <c r="P22" i="7"/>
  <c r="I110" i="7"/>
  <c r="U110" i="7" s="1"/>
  <c r="V110" i="7" s="1"/>
  <c r="T110" i="7"/>
  <c r="S110" i="7"/>
  <c r="R110" i="7"/>
  <c r="Q110" i="7"/>
  <c r="P110" i="7"/>
  <c r="I321" i="7"/>
  <c r="U321" i="7" s="1"/>
  <c r="V321" i="7" s="1"/>
  <c r="T321" i="7"/>
  <c r="S321" i="7"/>
  <c r="R321" i="7"/>
  <c r="Q321" i="7"/>
  <c r="P321" i="7"/>
  <c r="I202" i="7"/>
  <c r="U202" i="7" s="1"/>
  <c r="V202" i="7" s="1"/>
  <c r="T202" i="7"/>
  <c r="S202" i="7"/>
  <c r="R202" i="7"/>
  <c r="Q202" i="7"/>
  <c r="P202" i="7"/>
  <c r="I204" i="7"/>
  <c r="U204" i="7" s="1"/>
  <c r="V204" i="7" s="1"/>
  <c r="T204" i="7"/>
  <c r="S204" i="7"/>
  <c r="R204" i="7"/>
  <c r="Q204" i="7"/>
  <c r="P204" i="7"/>
  <c r="I35" i="7"/>
  <c r="U35" i="7" s="1"/>
  <c r="V35" i="7" s="1"/>
  <c r="T35" i="7"/>
  <c r="S35" i="7"/>
  <c r="R35" i="7"/>
  <c r="Q35" i="7"/>
  <c r="P35" i="7"/>
  <c r="I166" i="7"/>
  <c r="U166" i="7" s="1"/>
  <c r="V166" i="7" s="1"/>
  <c r="T166" i="7"/>
  <c r="S166" i="7"/>
  <c r="R166" i="7"/>
  <c r="Q166" i="7"/>
  <c r="P166" i="7"/>
  <c r="I34" i="7"/>
  <c r="U34" i="7" s="1"/>
  <c r="V34" i="7" s="1"/>
  <c r="T34" i="7"/>
  <c r="S34" i="7"/>
  <c r="R34" i="7"/>
  <c r="Q34" i="7"/>
  <c r="P34" i="7"/>
  <c r="I20" i="7"/>
  <c r="U20" i="7" s="1"/>
  <c r="V20" i="7" s="1"/>
  <c r="T20" i="7"/>
  <c r="S20" i="7"/>
  <c r="R20" i="7"/>
  <c r="Q20" i="7"/>
  <c r="P20" i="7"/>
  <c r="I264" i="7"/>
  <c r="U264" i="7" s="1"/>
  <c r="V264" i="7" s="1"/>
  <c r="T264" i="7"/>
  <c r="S264" i="7"/>
  <c r="R264" i="7"/>
  <c r="Q264" i="7"/>
  <c r="P264" i="7"/>
  <c r="I261" i="7"/>
  <c r="U261" i="7" s="1"/>
  <c r="V261" i="7" s="1"/>
  <c r="T261" i="7"/>
  <c r="S261" i="7"/>
  <c r="R261" i="7"/>
  <c r="Q261" i="7"/>
  <c r="P261" i="7"/>
  <c r="I174" i="7"/>
  <c r="U174" i="7" s="1"/>
  <c r="V174" i="7" s="1"/>
  <c r="T174" i="7"/>
  <c r="S174" i="7"/>
  <c r="R174" i="7"/>
  <c r="Q174" i="7"/>
  <c r="P174" i="7"/>
  <c r="I126" i="7"/>
  <c r="U126" i="7" s="1"/>
  <c r="V126" i="7" s="1"/>
  <c r="T126" i="7"/>
  <c r="S126" i="7"/>
  <c r="R126" i="7"/>
  <c r="Q126" i="7"/>
  <c r="P126" i="7"/>
  <c r="I259" i="7"/>
  <c r="U259" i="7" s="1"/>
  <c r="V259" i="7" s="1"/>
  <c r="T259" i="7"/>
  <c r="S259" i="7"/>
  <c r="R259" i="7"/>
  <c r="Q259" i="7"/>
  <c r="P259" i="7"/>
  <c r="I49" i="7"/>
  <c r="U49" i="7" s="1"/>
  <c r="V49" i="7" s="1"/>
  <c r="T49" i="7"/>
  <c r="S49" i="7"/>
  <c r="R49" i="7"/>
  <c r="Q49" i="7"/>
  <c r="P49" i="7"/>
  <c r="I77" i="7"/>
  <c r="U77" i="7" s="1"/>
  <c r="V77" i="7" s="1"/>
  <c r="T77" i="7"/>
  <c r="S77" i="7"/>
  <c r="R77" i="7"/>
  <c r="Q77" i="7"/>
  <c r="P77" i="7"/>
  <c r="I310" i="7"/>
  <c r="U310" i="7" s="1"/>
  <c r="V310" i="7" s="1"/>
  <c r="T310" i="7"/>
  <c r="S310" i="7"/>
  <c r="R310" i="7"/>
  <c r="Q310" i="7"/>
  <c r="P310" i="7"/>
  <c r="I85" i="7"/>
  <c r="U85" i="7" s="1"/>
  <c r="V85" i="7" s="1"/>
  <c r="T85" i="7"/>
  <c r="S85" i="7"/>
  <c r="R85" i="7"/>
  <c r="Q85" i="7"/>
  <c r="P85" i="7"/>
  <c r="I130" i="7"/>
  <c r="U130" i="7" s="1"/>
  <c r="V130" i="7" s="1"/>
  <c r="T130" i="7"/>
  <c r="S130" i="7"/>
  <c r="R130" i="7"/>
  <c r="Q130" i="7"/>
  <c r="P130" i="7"/>
  <c r="I169" i="7"/>
  <c r="U169" i="7" s="1"/>
  <c r="V169" i="7" s="1"/>
  <c r="T169" i="7"/>
  <c r="S169" i="7"/>
  <c r="R169" i="7"/>
  <c r="Q169" i="7"/>
  <c r="P169" i="7"/>
  <c r="I272" i="7"/>
  <c r="U272" i="7" s="1"/>
  <c r="V272" i="7" s="1"/>
  <c r="T272" i="7"/>
  <c r="S272" i="7"/>
  <c r="R272" i="7"/>
  <c r="Q272" i="7"/>
  <c r="P272" i="7"/>
  <c r="I112" i="7"/>
  <c r="U112" i="7" s="1"/>
  <c r="V112" i="7" s="1"/>
  <c r="T112" i="7"/>
  <c r="S112" i="7"/>
  <c r="R112" i="7"/>
  <c r="Q112" i="7"/>
  <c r="P112" i="7"/>
  <c r="I67" i="7"/>
  <c r="U67" i="7" s="1"/>
  <c r="V67" i="7" s="1"/>
  <c r="T67" i="7"/>
  <c r="S67" i="7"/>
  <c r="R67" i="7"/>
  <c r="Q67" i="7"/>
  <c r="P67" i="7"/>
  <c r="I271" i="7"/>
  <c r="U271" i="7" s="1"/>
  <c r="V271" i="7" s="1"/>
  <c r="T271" i="7"/>
  <c r="S271" i="7"/>
  <c r="R271" i="7"/>
  <c r="Q271" i="7"/>
  <c r="P271" i="7"/>
  <c r="I319" i="7"/>
  <c r="U319" i="7" s="1"/>
  <c r="V319" i="7" s="1"/>
  <c r="T319" i="7"/>
  <c r="S319" i="7"/>
  <c r="R319" i="7"/>
  <c r="Q319" i="7"/>
  <c r="P319" i="7"/>
  <c r="I161" i="7"/>
  <c r="U161" i="7" s="1"/>
  <c r="V161" i="7" s="1"/>
  <c r="T161" i="7"/>
  <c r="S161" i="7"/>
  <c r="R161" i="7"/>
  <c r="Q161" i="7"/>
  <c r="P161" i="7"/>
  <c r="I32" i="7"/>
  <c r="U32" i="7" s="1"/>
  <c r="V32" i="7" s="1"/>
  <c r="T32" i="7"/>
  <c r="S32" i="7"/>
  <c r="R32" i="7"/>
  <c r="Q32" i="7"/>
  <c r="P32" i="7"/>
  <c r="I164" i="7"/>
  <c r="U164" i="7" s="1"/>
  <c r="V164" i="7" s="1"/>
  <c r="T164" i="7"/>
  <c r="S164" i="7"/>
  <c r="R164" i="7"/>
  <c r="Q164" i="7"/>
  <c r="P164" i="7"/>
  <c r="I191" i="7"/>
  <c r="U191" i="7" s="1"/>
  <c r="V191" i="7" s="1"/>
  <c r="T191" i="7"/>
  <c r="S191" i="7"/>
  <c r="R191" i="7"/>
  <c r="Q191" i="7"/>
  <c r="P191" i="7"/>
  <c r="I182" i="7"/>
  <c r="U182" i="7" s="1"/>
  <c r="V182" i="7" s="1"/>
  <c r="T182" i="7"/>
  <c r="S182" i="7"/>
  <c r="R182" i="7"/>
  <c r="Q182" i="7"/>
  <c r="P182" i="7"/>
  <c r="I220" i="7"/>
  <c r="U220" i="7" s="1"/>
  <c r="V220" i="7" s="1"/>
  <c r="T220" i="7"/>
  <c r="S220" i="7"/>
  <c r="R220" i="7"/>
  <c r="Q220" i="7"/>
  <c r="P220" i="7"/>
  <c r="I278" i="7"/>
  <c r="U278" i="7" s="1"/>
  <c r="V278" i="7" s="1"/>
  <c r="T278" i="7"/>
  <c r="S278" i="7"/>
  <c r="R278" i="7"/>
  <c r="Q278" i="7"/>
  <c r="P278" i="7"/>
  <c r="I59" i="7"/>
  <c r="U59" i="7" s="1"/>
  <c r="V59" i="7" s="1"/>
  <c r="T59" i="7"/>
  <c r="S59" i="7"/>
  <c r="R59" i="7"/>
  <c r="Q59" i="7"/>
  <c r="P59" i="7"/>
  <c r="I252" i="7"/>
  <c r="U252" i="7" s="1"/>
  <c r="V252" i="7" s="1"/>
  <c r="T252" i="7"/>
  <c r="S252" i="7"/>
  <c r="R252" i="7"/>
  <c r="Q252" i="7"/>
  <c r="P252" i="7"/>
  <c r="I173" i="7"/>
  <c r="U173" i="7" s="1"/>
  <c r="V173" i="7" s="1"/>
  <c r="T173" i="7"/>
  <c r="S173" i="7"/>
  <c r="R173" i="7"/>
  <c r="Q173" i="7"/>
  <c r="P173" i="7"/>
  <c r="I291" i="7"/>
  <c r="U291" i="7" s="1"/>
  <c r="V291" i="7" s="1"/>
  <c r="T291" i="7"/>
  <c r="S291" i="7"/>
  <c r="R291" i="7"/>
  <c r="Q291" i="7"/>
  <c r="P291" i="7"/>
  <c r="I318" i="7"/>
  <c r="U318" i="7" s="1"/>
  <c r="V318" i="7" s="1"/>
  <c r="T318" i="7"/>
  <c r="S318" i="7"/>
  <c r="R318" i="7"/>
  <c r="Q318" i="7"/>
  <c r="P318" i="7"/>
  <c r="I305" i="7"/>
  <c r="U305" i="7" s="1"/>
  <c r="V305" i="7" s="1"/>
  <c r="T305" i="7"/>
  <c r="S305" i="7"/>
  <c r="R305" i="7"/>
  <c r="Q305" i="7"/>
  <c r="P305" i="7"/>
  <c r="I235" i="7"/>
  <c r="U235" i="7" s="1"/>
  <c r="V235" i="7" s="1"/>
  <c r="T235" i="7"/>
  <c r="S235" i="7"/>
  <c r="R235" i="7"/>
  <c r="Q235" i="7"/>
  <c r="P235" i="7"/>
  <c r="I145" i="7"/>
  <c r="U145" i="7" s="1"/>
  <c r="V145" i="7" s="1"/>
  <c r="T145" i="7"/>
  <c r="S145" i="7"/>
  <c r="R145" i="7"/>
  <c r="Q145" i="7"/>
  <c r="P145" i="7"/>
  <c r="I306" i="7"/>
  <c r="U306" i="7" s="1"/>
  <c r="V306" i="7" s="1"/>
  <c r="T306" i="7"/>
  <c r="S306" i="7"/>
  <c r="R306" i="7"/>
  <c r="Q306" i="7"/>
  <c r="P306" i="7"/>
  <c r="I139" i="7"/>
  <c r="U139" i="7" s="1"/>
  <c r="V139" i="7" s="1"/>
  <c r="T139" i="7"/>
  <c r="S139" i="7"/>
  <c r="R139" i="7"/>
  <c r="Q139" i="7"/>
  <c r="P139" i="7"/>
  <c r="I201" i="7"/>
  <c r="U201" i="7" s="1"/>
  <c r="V201" i="7" s="1"/>
  <c r="T201" i="7"/>
  <c r="S201" i="7"/>
  <c r="R201" i="7"/>
  <c r="Q201" i="7"/>
  <c r="P201" i="7"/>
  <c r="I315" i="7"/>
  <c r="U315" i="7" s="1"/>
  <c r="V315" i="7" s="1"/>
  <c r="T315" i="7"/>
  <c r="S315" i="7"/>
  <c r="R315" i="7"/>
  <c r="Q315" i="7"/>
  <c r="P315" i="7"/>
  <c r="I233" i="7"/>
  <c r="U233" i="7" s="1"/>
  <c r="V233" i="7" s="1"/>
  <c r="T233" i="7"/>
  <c r="S233" i="7"/>
  <c r="R233" i="7"/>
  <c r="Q233" i="7"/>
  <c r="P233" i="7"/>
  <c r="I179" i="7"/>
  <c r="U179" i="7" s="1"/>
  <c r="V179" i="7" s="1"/>
  <c r="T179" i="7"/>
  <c r="S179" i="7"/>
  <c r="R179" i="7"/>
  <c r="Q179" i="7"/>
  <c r="P179" i="7"/>
  <c r="I114" i="7"/>
  <c r="U114" i="7" s="1"/>
  <c r="V114" i="7" s="1"/>
  <c r="T114" i="7"/>
  <c r="S114" i="7"/>
  <c r="R114" i="7"/>
  <c r="Q114" i="7"/>
  <c r="P114" i="7"/>
  <c r="I231" i="7"/>
  <c r="U231" i="7" s="1"/>
  <c r="V231" i="7" s="1"/>
  <c r="T231" i="7"/>
  <c r="S231" i="7"/>
  <c r="R231" i="7"/>
  <c r="Q231" i="7"/>
  <c r="P231" i="7"/>
  <c r="I316" i="7"/>
  <c r="U316" i="7" s="1"/>
  <c r="V316" i="7" s="1"/>
  <c r="T316" i="7"/>
  <c r="S316" i="7"/>
  <c r="R316" i="7"/>
  <c r="Q316" i="7"/>
  <c r="P316" i="7"/>
  <c r="I197" i="7"/>
  <c r="U197" i="7" s="1"/>
  <c r="V197" i="7" s="1"/>
  <c r="T197" i="7"/>
  <c r="S197" i="7"/>
  <c r="R197" i="7"/>
  <c r="Q197" i="7"/>
  <c r="P197" i="7"/>
  <c r="I230" i="7"/>
  <c r="U230" i="7" s="1"/>
  <c r="V230" i="7" s="1"/>
  <c r="T230" i="7"/>
  <c r="S230" i="7"/>
  <c r="R230" i="7"/>
  <c r="Q230" i="7"/>
  <c r="P230" i="7"/>
  <c r="I241" i="7"/>
  <c r="U241" i="7" s="1"/>
  <c r="V241" i="7" s="1"/>
  <c r="T241" i="7"/>
  <c r="S241" i="7"/>
  <c r="R241" i="7"/>
  <c r="Q241" i="7"/>
  <c r="P241" i="7"/>
  <c r="I211" i="7"/>
  <c r="U211" i="7" s="1"/>
  <c r="V211" i="7" s="1"/>
  <c r="T211" i="7"/>
  <c r="S211" i="7"/>
  <c r="R211" i="7"/>
  <c r="Q211" i="7"/>
  <c r="P211" i="7"/>
  <c r="I111" i="7"/>
  <c r="U111" i="7" s="1"/>
  <c r="V111" i="7" s="1"/>
  <c r="T111" i="7"/>
  <c r="S111" i="7"/>
  <c r="R111" i="7"/>
  <c r="Q111" i="7"/>
  <c r="P111" i="7"/>
  <c r="I225" i="7"/>
  <c r="U225" i="7" s="1"/>
  <c r="V225" i="7" s="1"/>
  <c r="T225" i="7"/>
  <c r="S225" i="7"/>
  <c r="R225" i="7"/>
  <c r="Q225" i="7"/>
  <c r="P225" i="7"/>
  <c r="I293" i="7"/>
  <c r="U293" i="7" s="1"/>
  <c r="V293" i="7" s="1"/>
  <c r="T293" i="7"/>
  <c r="S293" i="7"/>
  <c r="R293" i="7"/>
  <c r="Q293" i="7"/>
  <c r="P293" i="7"/>
  <c r="I70" i="7"/>
  <c r="U70" i="7" s="1"/>
  <c r="V70" i="7" s="1"/>
  <c r="T70" i="7"/>
  <c r="S70" i="7"/>
  <c r="R70" i="7"/>
  <c r="Q70" i="7"/>
  <c r="P70" i="7"/>
  <c r="I21" i="7"/>
  <c r="U21" i="7" s="1"/>
  <c r="V21" i="7" s="1"/>
  <c r="T21" i="7"/>
  <c r="S21" i="7"/>
  <c r="R21" i="7"/>
  <c r="Q21" i="7"/>
  <c r="P21" i="7"/>
  <c r="I212" i="7"/>
  <c r="U212" i="7" s="1"/>
  <c r="V212" i="7" s="1"/>
  <c r="T212" i="7"/>
  <c r="S212" i="7"/>
  <c r="R212" i="7"/>
  <c r="Q212" i="7"/>
  <c r="P212" i="7"/>
  <c r="I171" i="7"/>
  <c r="U171" i="7" s="1"/>
  <c r="V171" i="7" s="1"/>
  <c r="T171" i="7"/>
  <c r="S171" i="7"/>
  <c r="R171" i="7"/>
  <c r="Q171" i="7"/>
  <c r="P171" i="7"/>
  <c r="I9" i="7"/>
  <c r="U9" i="7" s="1"/>
  <c r="V9" i="7" s="1"/>
  <c r="T9" i="7"/>
  <c r="S9" i="7"/>
  <c r="R9" i="7"/>
  <c r="Q9" i="7"/>
  <c r="P9" i="7"/>
  <c r="I24" i="7"/>
  <c r="U24" i="7" s="1"/>
  <c r="V24" i="7" s="1"/>
  <c r="T24" i="7"/>
  <c r="S24" i="7"/>
  <c r="R24" i="7"/>
  <c r="Q24" i="7"/>
  <c r="P24" i="7"/>
  <c r="I120" i="7"/>
  <c r="U120" i="7" s="1"/>
  <c r="V120" i="7" s="1"/>
  <c r="T120" i="7"/>
  <c r="S120" i="7"/>
  <c r="R120" i="7"/>
  <c r="Q120" i="7"/>
  <c r="P120" i="7"/>
  <c r="I242" i="7"/>
  <c r="U242" i="7" s="1"/>
  <c r="V242" i="7" s="1"/>
  <c r="T242" i="7"/>
  <c r="S242" i="7"/>
  <c r="R242" i="7"/>
  <c r="Q242" i="7"/>
  <c r="P242" i="7"/>
  <c r="I290" i="7"/>
  <c r="U290" i="7" s="1"/>
  <c r="V290" i="7" s="1"/>
  <c r="T290" i="7"/>
  <c r="S290" i="7"/>
  <c r="R290" i="7"/>
  <c r="Q290" i="7"/>
  <c r="P290" i="7"/>
  <c r="I317" i="7"/>
  <c r="U317" i="7" s="1"/>
  <c r="V317" i="7" s="1"/>
  <c r="T317" i="7"/>
  <c r="S317" i="7"/>
  <c r="R317" i="7"/>
  <c r="Q317" i="7"/>
  <c r="P317" i="7"/>
  <c r="I307" i="7"/>
  <c r="U307" i="7" s="1"/>
  <c r="V307" i="7" s="1"/>
  <c r="T307" i="7"/>
  <c r="S307" i="7"/>
  <c r="R307" i="7"/>
  <c r="Q307" i="7"/>
  <c r="P307" i="7"/>
  <c r="I296" i="7"/>
  <c r="U296" i="7" s="1"/>
  <c r="V296" i="7" s="1"/>
  <c r="T296" i="7"/>
  <c r="S296" i="7"/>
  <c r="R296" i="7"/>
  <c r="Q296" i="7"/>
  <c r="P296" i="7"/>
  <c r="I273" i="7"/>
  <c r="U273" i="7" s="1"/>
  <c r="V273" i="7" s="1"/>
  <c r="T273" i="7"/>
  <c r="S273" i="7"/>
  <c r="R273" i="7"/>
  <c r="Q273" i="7"/>
  <c r="P273" i="7"/>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2" i="4"/>
</calcChain>
</file>

<file path=xl/sharedStrings.xml><?xml version="1.0" encoding="utf-8"?>
<sst xmlns="http://schemas.openxmlformats.org/spreadsheetml/2006/main" count="4111" uniqueCount="207">
  <si>
    <t>store_id</t>
  </si>
  <si>
    <t>month</t>
  </si>
  <si>
    <t>region</t>
  </si>
  <si>
    <t>store_type</t>
  </si>
  <si>
    <t>marketing_spend</t>
  </si>
  <si>
    <t>footfall</t>
  </si>
  <si>
    <t>avg_discount_pct</t>
  </si>
  <si>
    <t>staff_count</t>
  </si>
  <si>
    <t>inventory_availability_pct</t>
  </si>
  <si>
    <t>competitor_distance_km</t>
  </si>
  <si>
    <t>holiday_flag</t>
  </si>
  <si>
    <t>customer_rating</t>
  </si>
  <si>
    <t>monthly_sales</t>
  </si>
  <si>
    <t>monthly_profit</t>
  </si>
  <si>
    <t>STR-1001</t>
  </si>
  <si>
    <t>East</t>
  </si>
  <si>
    <t>Residential</t>
  </si>
  <si>
    <t>STR-1002</t>
  </si>
  <si>
    <t>High Street</t>
  </si>
  <si>
    <t>STR-1003</t>
  </si>
  <si>
    <t>North</t>
  </si>
  <si>
    <t>Airport</t>
  </si>
  <si>
    <t>STR-1004</t>
  </si>
  <si>
    <t>STR-1005</t>
  </si>
  <si>
    <t>South</t>
  </si>
  <si>
    <t>STR-1006</t>
  </si>
  <si>
    <t>STR-1007</t>
  </si>
  <si>
    <t>West</t>
  </si>
  <si>
    <t>Mall</t>
  </si>
  <si>
    <t>STR-1008</t>
  </si>
  <si>
    <t>STR-1009</t>
  </si>
  <si>
    <t>STR-1010</t>
  </si>
  <si>
    <t>STR-1011</t>
  </si>
  <si>
    <t>STR-1012</t>
  </si>
  <si>
    <t>STR-1013</t>
  </si>
  <si>
    <t>STR-1014</t>
  </si>
  <si>
    <t>STR-1015</t>
  </si>
  <si>
    <t>STR-1016</t>
  </si>
  <si>
    <t>STR-1017</t>
  </si>
  <si>
    <t>STR-1018</t>
  </si>
  <si>
    <t>STR-1019</t>
  </si>
  <si>
    <t>STR-1020</t>
  </si>
  <si>
    <t>STR-1021</t>
  </si>
  <si>
    <t>STR-1022</t>
  </si>
  <si>
    <t>STR-1023</t>
  </si>
  <si>
    <t>STR-1024</t>
  </si>
  <si>
    <t>STR-1025</t>
  </si>
  <si>
    <t>STR-1026</t>
  </si>
  <si>
    <t>STR-1027</t>
  </si>
  <si>
    <t>STR-1028</t>
  </si>
  <si>
    <t>STR-1029</t>
  </si>
  <si>
    <t>STR-1030</t>
  </si>
  <si>
    <t>STR-1031</t>
  </si>
  <si>
    <t>STR-1032</t>
  </si>
  <si>
    <t>STR-1033</t>
  </si>
  <si>
    <t>STR-1034</t>
  </si>
  <si>
    <t>STR-1035</t>
  </si>
  <si>
    <t>STR-1036</t>
  </si>
  <si>
    <t>STR-1037</t>
  </si>
  <si>
    <t>STR-1038</t>
  </si>
  <si>
    <t>STR-1039</t>
  </si>
  <si>
    <t>STR-1040</t>
  </si>
  <si>
    <t>STR-1041</t>
  </si>
  <si>
    <t>STR-1042</t>
  </si>
  <si>
    <t>STR-1043</t>
  </si>
  <si>
    <t>STR-1044</t>
  </si>
  <si>
    <t>STR-1045</t>
  </si>
  <si>
    <t>STR-1046</t>
  </si>
  <si>
    <t>STR-1047</t>
  </si>
  <si>
    <t>STR-1048</t>
  </si>
  <si>
    <t>STR-1049</t>
  </si>
  <si>
    <t>STR-1050</t>
  </si>
  <si>
    <t>STR-1051</t>
  </si>
  <si>
    <t>STR-1052</t>
  </si>
  <si>
    <t>STR-1053</t>
  </si>
  <si>
    <t>STR-1054</t>
  </si>
  <si>
    <t>STR-1055</t>
  </si>
  <si>
    <t>STR-1056</t>
  </si>
  <si>
    <t>STR-1057</t>
  </si>
  <si>
    <t>STR-1058</t>
  </si>
  <si>
    <t>STR-1059</t>
  </si>
  <si>
    <t>STR-1060</t>
  </si>
  <si>
    <t>STR-1061</t>
  </si>
  <si>
    <t>STR-1062</t>
  </si>
  <si>
    <t>STR-1063</t>
  </si>
  <si>
    <t>STR-1064</t>
  </si>
  <si>
    <t>STR-1065</t>
  </si>
  <si>
    <t>STR-1066</t>
  </si>
  <si>
    <t>STR-1067</t>
  </si>
  <si>
    <t>STR-1068</t>
  </si>
  <si>
    <t>STR-1069</t>
  </si>
  <si>
    <t>STR-1070</t>
  </si>
  <si>
    <t>STR-1071</t>
  </si>
  <si>
    <t>STR-1072</t>
  </si>
  <si>
    <t>STR-1073</t>
  </si>
  <si>
    <t>STR-1074</t>
  </si>
  <si>
    <t>STR-1075</t>
  </si>
  <si>
    <t>STR-1076</t>
  </si>
  <si>
    <t>STR-1077</t>
  </si>
  <si>
    <t>STR-1078</t>
  </si>
  <si>
    <t>STR-1079</t>
  </si>
  <si>
    <t>STR-1080</t>
  </si>
  <si>
    <t>Column</t>
  </si>
  <si>
    <t>Description</t>
  </si>
  <si>
    <t>Unique store identifier.</t>
  </si>
  <si>
    <t>Reporting month.</t>
  </si>
  <si>
    <t>Business region.</t>
  </si>
  <si>
    <t>Mall, High Street, Residential, or Airport.</t>
  </si>
  <si>
    <t>Monthly marketing spend for the store.</t>
  </si>
  <si>
    <t>Monthly visitor count.</t>
  </si>
  <si>
    <t>Average discount percentage for the month.</t>
  </si>
  <si>
    <t>Number of store staff.</t>
  </si>
  <si>
    <t>Average product availability percentage.</t>
  </si>
  <si>
    <t>Distance to nearest competitor.</t>
  </si>
  <si>
    <t>1 if the month/store period had a meaningful holiday effect; otherwise 0.</t>
  </si>
  <si>
    <t>Average customer rating.</t>
  </si>
  <si>
    <t>Dependent variable for sales regression.</t>
  </si>
  <si>
    <t>Optional secondary business metric.</t>
  </si>
  <si>
    <t>Region_North</t>
  </si>
  <si>
    <t>Region_South</t>
  </si>
  <si>
    <t>Region_East</t>
  </si>
  <si>
    <t>Store_Airport</t>
  </si>
  <si>
    <t>Store_HighStreet</t>
  </si>
  <si>
    <t>Store_Mall</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</si>
  <si>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</si>
  <si>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</si>
  <si>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</si>
  <si>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</si>
  <si>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</si>
  <si>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</si>
  <si>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</si>
  <si>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</si>
  <si>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</si>
  <si>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</si>
  <si>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</si>
  <si>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</si>
  <si>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</si>
  <si>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</si>
  <si>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</si>
  <si>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</si>
  <si>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</si>
  <si>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</si>
  <si>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</si>
  <si>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</si>
  <si>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</si>
  <si>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</si>
  <si>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</si>
  <si>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</si>
  <si>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Y Range: Monthly Sales, X Range: Marketing Spend</t>
  </si>
  <si>
    <t>Y Range: Monthly Sales, X Range: Footfall</t>
  </si>
  <si>
    <t>Model</t>
  </si>
  <si>
    <t>Dependent Variable</t>
  </si>
  <si>
    <t>Independent Variable</t>
  </si>
  <si>
    <t>Regression Equation</t>
  </si>
  <si>
    <t>R²</t>
  </si>
  <si>
    <t>Coefficient</t>
  </si>
  <si>
    <t>Significant?</t>
  </si>
  <si>
    <t>Business Interpretation</t>
  </si>
  <si>
    <t>Useful?</t>
  </si>
  <si>
    <t>Simple Regression 1</t>
  </si>
  <si>
    <t>Monthly Sales</t>
  </si>
  <si>
    <t>Marketing Spend</t>
  </si>
  <si>
    <t>Sales = 56,077.35 + 2.13 × Marketing Spend</t>
  </si>
  <si>
    <t>Yes</t>
  </si>
  <si>
    <t>Positive relationship; explains 16.72% of variation in sales.</t>
  </si>
  <si>
    <t>Simple Regression 2</t>
  </si>
  <si>
    <t>Footfall</t>
  </si>
  <si>
    <t>Sales = 44,610.58 + 35.68 × Footfall</t>
  </si>
  <si>
    <t>Strong positive relationship; explains 73.63% of variation in sales.</t>
  </si>
  <si>
    <t>Documentation:</t>
  </si>
  <si>
    <t>Multiple Regression Interpretation</t>
  </si>
  <si>
    <t>1. Intercept</t>
  </si>
  <si>
    <t>Intercept = 79,514.81</t>
  </si>
  <si>
    <t>Interpretation:</t>
  </si>
  <si>
    <r>
      <t xml:space="preserve">When Marketing Spend, Footfall, Inventory Availability, Customer Rating, and Store Type are all zero, the predicted Monthly Sales are approximately </t>
    </r>
    <r>
      <rPr>
        <b/>
        <sz val="11"/>
        <rFont val="Carlito"/>
      </rPr>
      <t>₹79,515</t>
    </r>
    <r>
      <rPr>
        <sz val="11"/>
        <rFont val="Carlito"/>
      </rPr>
      <t>. Since this situation is unrealistic in practice, the intercept mainly serves as the baseline for the regression equation and has limited business interpretation.</t>
    </r>
  </si>
  <si>
    <t>2. Coefficients</t>
  </si>
  <si>
    <t>Variable</t>
  </si>
  <si>
    <t>Interpretation</t>
  </si>
  <si>
    <r>
      <t xml:space="preserve">Every additional ₹1 spent on marketing is associated with approximately </t>
    </r>
    <r>
      <rPr>
        <b/>
        <sz val="11"/>
        <rFont val="Carlito"/>
      </rPr>
      <t>₹1.19</t>
    </r>
    <r>
      <rPr>
        <sz val="11"/>
        <rFont val="Carlito"/>
      </rPr>
      <t xml:space="preserve"> higher Monthly Sales, holding all other variables constant.</t>
    </r>
  </si>
  <si>
    <r>
      <t xml:space="preserve">Every additional customer visiting the store is associated with approximately </t>
    </r>
    <r>
      <rPr>
        <b/>
        <sz val="11"/>
        <rFont val="Carlito"/>
      </rPr>
      <t>₹33.73</t>
    </r>
    <r>
      <rPr>
        <sz val="11"/>
        <rFont val="Carlito"/>
      </rPr>
      <t xml:space="preserve"> higher Monthly Sales.</t>
    </r>
  </si>
  <si>
    <t>Inventory Availability (%)</t>
  </si>
  <si>
    <r>
      <t xml:space="preserve">Inventory availability is stored as a decimal (0–1). Therefore, a </t>
    </r>
    <r>
      <rPr>
        <b/>
        <sz val="11"/>
        <rFont val="Carlito"/>
      </rPr>
      <t>1 percentage point increase (0.01)</t>
    </r>
    <r>
      <rPr>
        <sz val="11"/>
        <rFont val="Carlito"/>
      </rPr>
      <t xml:space="preserve"> is associated with approximately </t>
    </r>
    <r>
      <rPr>
        <b/>
        <sz val="11"/>
        <rFont val="Carlito"/>
      </rPr>
      <t>₹30.40</t>
    </r>
    <r>
      <rPr>
        <sz val="11"/>
        <rFont val="Carlito"/>
      </rPr>
      <t xml:space="preserve"> higher Monthly Sales.</t>
    </r>
  </si>
  <si>
    <t>Customer Rating</t>
  </si>
  <si>
    <r>
      <t xml:space="preserve">A one-point increase in customer rating is associated with approximately </t>
    </r>
    <r>
      <rPr>
        <b/>
        <sz val="11"/>
        <rFont val="Carlito"/>
      </rPr>
      <t>₹10,422</t>
    </r>
    <r>
      <rPr>
        <sz val="11"/>
        <rFont val="Carlito"/>
      </rPr>
      <t xml:space="preserve"> higher Monthly Sales.</t>
    </r>
  </si>
  <si>
    <r>
      <t xml:space="preserve">Mall stores are expected to generate approximately </t>
    </r>
    <r>
      <rPr>
        <b/>
        <sz val="11"/>
        <rFont val="Carlito"/>
      </rPr>
      <t>₹15,258</t>
    </r>
    <r>
      <rPr>
        <sz val="11"/>
        <rFont val="Carlito"/>
      </rPr>
      <t xml:space="preserve"> higher Monthly Sales than Residential stores after controlling for the other variables.</t>
    </r>
  </si>
  <si>
    <t>3. R-squared</t>
  </si>
  <si>
    <t>R² = 0.8115 (81.15%)</t>
  </si>
  <si>
    <r>
      <t xml:space="preserve">The model explains approximately </t>
    </r>
    <r>
      <rPr>
        <b/>
        <sz val="11"/>
        <rFont val="Carlito"/>
      </rPr>
      <t>81.15%</t>
    </r>
    <r>
      <rPr>
        <sz val="11"/>
        <rFont val="Carlito"/>
      </rPr>
      <t xml:space="preserve"> of the variation in Monthly Sales, indicating that it has strong explanatory power and provides a good fit for the data.</t>
    </r>
  </si>
  <si>
    <t>4. P-values</t>
  </si>
  <si>
    <t>Statistically significant</t>
  </si>
  <si>
    <t>Inventory Availability</t>
  </si>
  <si>
    <r>
      <t xml:space="preserve">All predictors have </t>
    </r>
    <r>
      <rPr>
        <b/>
        <sz val="11"/>
        <rFont val="Carlito"/>
      </rPr>
      <t>p-values below 0.05</t>
    </r>
    <r>
      <rPr>
        <sz val="11"/>
        <rFont val="Carlito"/>
      </rPr>
      <t>, indicating that each variable contributes significantly to explaining Monthly Sales.</t>
    </r>
  </si>
  <si>
    <t>5. Direction of Relationship</t>
  </si>
  <si>
    <t>Direction</t>
  </si>
  <si>
    <t>Positive</t>
  </si>
  <si>
    <t>Positive (relative to Residential stores)</t>
  </si>
  <si>
    <r>
      <t xml:space="preserve">All independent variables have a </t>
    </r>
    <r>
      <rPr>
        <b/>
        <sz val="11"/>
        <rFont val="Carlito"/>
      </rPr>
      <t>positive relationship</t>
    </r>
    <r>
      <rPr>
        <sz val="11"/>
        <rFont val="Carlito"/>
      </rPr>
      <t xml:space="preserve"> with Monthly Sales. As these variables increase, Monthly Sales are also expected to increase, assuming all other variables remain constant.</t>
    </r>
  </si>
  <si>
    <t>6. Business Meaning of Each Important Variable</t>
  </si>
  <si>
    <r>
      <t>Marketing Spend:</t>
    </r>
    <r>
      <rPr>
        <sz val="11"/>
        <rFont val="Carlito"/>
      </rPr>
      <t xml:space="preserve"> Increasing marketing investment is associated with higher Monthly Sales, suggesting that promotional activities contribute positively to revenue generation.</t>
    </r>
  </si>
  <si>
    <r>
      <t>Footfall:</t>
    </r>
    <r>
      <rPr>
        <sz val="11"/>
        <rFont val="Carlito"/>
      </rPr>
      <t xml:space="preserve"> Footfall has the largest impact on Monthly Sales among all predictors, indicating that attracting more customers to the store is a key driver of sales performance.</t>
    </r>
  </si>
  <si>
    <r>
      <t>Inventory Availability:</t>
    </r>
    <r>
      <rPr>
        <sz val="11"/>
        <rFont val="Carlito"/>
      </rPr>
      <t xml:space="preserve"> Maintaining higher inventory availability helps prevent stock-outs and supports higher Monthly Sales.</t>
    </r>
  </si>
  <si>
    <r>
      <t>Customer Rating:</t>
    </r>
    <r>
      <rPr>
        <sz val="11"/>
        <rFont val="Carlito"/>
      </rPr>
      <t xml:space="preserve"> Better customer experiences, reflected through higher ratings, are associated with increased Monthly Sales.</t>
    </r>
  </si>
  <si>
    <r>
      <t>Store Type:</t>
    </r>
    <r>
      <rPr>
        <sz val="11"/>
        <rFont val="Carlito"/>
      </rPr>
      <t xml:space="preserve"> Mall stores are expected to generate higher Monthly Sales than Residential stores, even after accounting for marketing, customer traffic, inventory availability, and customer ratings.</t>
    </r>
  </si>
  <si>
    <t>7. Variables that Appear Statistically Weak or Difficult to Interpret</t>
  </si>
  <si>
    <t>All variables are statistically significant because their p-values are below 0.05.
However, Customer Rating has the highest p-value (0.0354) among the predictors, making it the weakest statistically significant predictor compared with the others. Although it contributes positively to Monthly Sales, its effect is less robust than variables such as Footfall or Marketing Spend.
Additionally, Inventory Availability should be interpreted carefully because it is stored as a decimal (0–1) rather than as a percentage. Therefore, changes should be interpreted in terms of percentage-point increases (e.g., 0.01 = 1%) rather than whole-unit increases.</t>
  </si>
  <si>
    <t>Predicted Sales</t>
  </si>
  <si>
    <t>Residuals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</si>
</sst>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
  </numFmts>
  <fonts count="5">
    <font>
      <sz val="11"/>
      <name val="Carlito"/>
    </font>
    <font>
      <b/>
      <sz val="11"/>
      <color rgb="FFFFFFFF"/>
      <name val="Carlito"/>
    </font>
    <font>
      <i/>
      <sz val="11"/>
      <name val="Carlito"/>
    </font>
    <font>
      <b/>
      <sz val="11"/>
      <name val="Carlito"/>
    </font>
    <font>
      <b/>
      <sz val="13.5"/>
      <name val="Carlito"/>
    </font>
  </fonts>
  <fills count="7">
    <fill>
      <patternFill patternType="none"/>
    </fill>
    <fill>
      <patternFill patternType="gray125"/>
    </fill>
    <fill>
      <patternFill patternType="solid">
        <fgColor rgb="FF365F91"/>
      </patternFill>
    </fill>
    <fill>
      <patternFill patternType="solid">
        <fgColor theme="3" tint="0.89999084444715716"/>
        <bgColor indexed="64"/>
      </patternFill>
    </fill>
    <fill>
      <patternFill patternType="solid">
        <fgColor theme="8"/>
        <bgColor indexed="64"/>
      </patternFill>
    </fill>
    <fill>
      <patternFill patternType="solid">
        <fgColor theme="6"/>
        <bgColor indexed="64"/>
      </patternFill>
    </fill>
    <fill>
      <patternFill patternType="solid">
        <fgColor rgb="FFFF0000"/>
        <bgColor indexed="64"/>
      </patternFill>
    </fill>
  </fills>
  <borders count="11">
    <border>
      <left/>
      <right/>
      <top/>
      <bottom/>
      <diagonal/>
    </border>
    <border>
      <left/>
      <right/>
      <top/>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1" xfId="0" applyBorder="1"/>
    <xf numFmtId="0" fontId="1" fillId="2" borderId="0" xfId="0" applyFont="1" applyFill="1" applyAlignment="1">
      <alignment horizontal="center" vertical="center" wrapText="1"/>
    </xf>
    <xf numFmtId="164" fontId="0" fillId="0" borderId="0" xfId="0" applyNumberFormat="1"/>
    <xf numFmtId="0" fontId="0" fillId="0" borderId="0" xfId="0" applyAlignment="1">
      <alignment wrapText="1"/>
    </xf>
    <xf numFmtId="2" fontId="0" fillId="0" borderId="0" xfId="0" applyNumberFormat="1"/>
    <xf numFmtId="0" fontId="0" fillId="3" borderId="0" xfId="0" applyFill="1"/>
    <xf numFmtId="0" fontId="1" fillId="4" borderId="0" xfId="0" applyFont="1" applyFill="1" applyAlignment="1">
      <alignment horizontal="center" vertical="center" wrapText="1"/>
    </xf>
    <xf numFmtId="0" fontId="0" fillId="0" borderId="3" xfId="0" applyBorder="1"/>
    <xf numFmtId="0" fontId="2" fillId="0" borderId="4" xfId="0" applyFont="1" applyBorder="1" applyAlignment="1">
      <alignment horizontal="center"/>
    </xf>
    <xf numFmtId="0" fontId="2" fillId="0" borderId="4" xfId="0" applyFont="1" applyBorder="1" applyAlignment="1">
      <alignment horizontal="centerContinuous"/>
    </xf>
    <xf numFmtId="0" fontId="0" fillId="0" borderId="5" xfId="0" applyBorder="1"/>
    <xf numFmtId="0" fontId="0" fillId="0" borderId="2" xfId="0" applyBorder="1"/>
    <xf numFmtId="0" fontId="0" fillId="0" borderId="6" xfId="0" applyBorder="1"/>
    <xf numFmtId="0" fontId="0" fillId="0" borderId="7" xfId="0" applyBorder="1"/>
    <xf numFmtId="0" fontId="2" fillId="0" borderId="8" xfId="0" applyFont="1" applyBorder="1" applyAlignment="1">
      <alignment horizontal="centerContinuous"/>
    </xf>
    <xf numFmtId="0" fontId="0" fillId="0" borderId="9" xfId="0" applyBorder="1"/>
    <xf numFmtId="0" fontId="2" fillId="0" borderId="8" xfId="0" applyFont="1" applyBorder="1" applyAlignment="1">
      <alignment horizontal="center"/>
    </xf>
    <xf numFmtId="0" fontId="3" fillId="0" borderId="0" xfId="0" applyFont="1"/>
    <xf numFmtId="0" fontId="3" fillId="0" borderId="10" xfId="0" applyFont="1" applyBorder="1"/>
    <xf numFmtId="0" fontId="0" fillId="0" borderId="10" xfId="0" applyBorder="1"/>
    <xf numFmtId="11" fontId="0" fillId="0" borderId="10" xfId="0" applyNumberFormat="1" applyBorder="1"/>
    <xf numFmtId="0" fontId="1" fillId="5" borderId="0" xfId="0" applyFont="1" applyFill="1" applyAlignment="1">
      <alignment horizontal="center" vertical="center" wrapText="1"/>
    </xf>
    <xf numFmtId="0" fontId="4" fillId="0" borderId="0" xfId="0" applyFont="1"/>
    <xf numFmtId="0" fontId="0" fillId="0" borderId="0" xfId="0" applyAlignment="1">
      <alignment horizontal="center"/>
    </xf>
    <xf numFmtId="0" fontId="3" fillId="0" borderId="0" xfId="0" applyFont="1" applyAlignment="1">
      <alignment horizontal="center"/>
    </xf>
    <xf numFmtId="11" fontId="0" fillId="0" borderId="0" xfId="0" applyNumberFormat="1" applyAlignment="1">
      <alignment horizontal="center"/>
    </xf>
    <xf numFmtId="0" fontId="1" fillId="6" borderId="0" xfId="0" applyFont="1" applyFill="1"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1"/>
  <sheetViews>
    <sheetView tabSelected="1" workbookViewId="0">
      <selection activeCell="A11" sqref="A11"/>
    </sheetView>
  </sheetViews>
  <sheetFormatPr baseColWidth="10" defaultColWidth="8.83203125" defaultRowHeight="14"/>
  <cols>
    <col min="1" max="14" width="16" customWidth="1"/>
  </cols>
  <sheetData>
    <row r="1" spans="1:14" ht="37.25" customHeight="1">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t="s">
        <v>14</v>
      </c>
      <c r="B2" s="3">
        <v>45658</v>
      </c>
      <c r="C2" t="s">
        <v>15</v>
      </c>
      <c r="D2" t="s">
        <v>16</v>
      </c>
      <c r="E2">
        <v>70389.11</v>
      </c>
      <c r="F2">
        <v>8302</v>
      </c>
      <c r="G2">
        <v>4.2000000000000003E-2</v>
      </c>
      <c r="H2">
        <v>17</v>
      </c>
      <c r="I2">
        <v>75</v>
      </c>
      <c r="J2">
        <v>5.28</v>
      </c>
      <c r="K2">
        <v>1</v>
      </c>
      <c r="L2">
        <v>3.1</v>
      </c>
      <c r="M2">
        <v>658832.62</v>
      </c>
      <c r="N2">
        <v>84349.93</v>
      </c>
    </row>
    <row r="3" spans="1:14">
      <c r="A3" t="s">
        <v>14</v>
      </c>
      <c r="B3" s="3">
        <v>45689</v>
      </c>
      <c r="C3" t="s">
        <v>15</v>
      </c>
      <c r="D3" t="s">
        <v>16</v>
      </c>
      <c r="E3">
        <v>43827.89</v>
      </c>
      <c r="F3">
        <v>8487</v>
      </c>
      <c r="G3">
        <v>0.16800000000000001</v>
      </c>
      <c r="H3">
        <v>23</v>
      </c>
      <c r="I3">
        <v>84.4</v>
      </c>
      <c r="J3">
        <v>4.3099999999999996</v>
      </c>
      <c r="K3">
        <v>0</v>
      </c>
      <c r="L3">
        <v>2.8</v>
      </c>
      <c r="M3">
        <v>634436</v>
      </c>
      <c r="N3">
        <v>106130.54</v>
      </c>
    </row>
    <row r="4" spans="1:14">
      <c r="A4" t="s">
        <v>14</v>
      </c>
      <c r="B4" s="3">
        <v>45717</v>
      </c>
      <c r="C4" t="s">
        <v>15</v>
      </c>
      <c r="D4" t="s">
        <v>16</v>
      </c>
      <c r="E4">
        <v>59921.75</v>
      </c>
      <c r="F4">
        <v>9113</v>
      </c>
      <c r="G4">
        <v>0.13300000000000001</v>
      </c>
      <c r="H4">
        <v>20</v>
      </c>
      <c r="I4">
        <v>88</v>
      </c>
      <c r="J4">
        <v>12</v>
      </c>
      <c r="K4">
        <v>0</v>
      </c>
      <c r="L4">
        <v>3.2</v>
      </c>
      <c r="M4">
        <v>678722.06</v>
      </c>
      <c r="N4">
        <v>101883.86</v>
      </c>
    </row>
    <row r="5" spans="1:14">
      <c r="A5" t="s">
        <v>14</v>
      </c>
      <c r="B5" s="3">
        <v>45748</v>
      </c>
      <c r="C5" t="s">
        <v>15</v>
      </c>
      <c r="D5" t="s">
        <v>16</v>
      </c>
      <c r="E5">
        <v>56856.63</v>
      </c>
      <c r="F5">
        <v>9431</v>
      </c>
      <c r="G5">
        <v>0.14199999999999999</v>
      </c>
      <c r="H5">
        <v>23</v>
      </c>
      <c r="I5">
        <v>86.9</v>
      </c>
      <c r="J5">
        <v>4.97</v>
      </c>
      <c r="K5">
        <v>0</v>
      </c>
      <c r="L5">
        <v>3.4</v>
      </c>
      <c r="M5">
        <v>658920.30000000005</v>
      </c>
      <c r="N5">
        <v>97910.37</v>
      </c>
    </row>
    <row r="6" spans="1:14">
      <c r="A6" t="s">
        <v>17</v>
      </c>
      <c r="B6" s="3">
        <v>45658</v>
      </c>
      <c r="C6" t="s">
        <v>15</v>
      </c>
      <c r="D6" t="s">
        <v>18</v>
      </c>
      <c r="E6">
        <v>48412.639999999999</v>
      </c>
      <c r="F6">
        <v>9545</v>
      </c>
      <c r="G6">
        <v>0.23100000000000001</v>
      </c>
      <c r="H6">
        <v>21</v>
      </c>
      <c r="I6">
        <v>97.6</v>
      </c>
      <c r="J6">
        <v>6.94</v>
      </c>
      <c r="K6">
        <v>1</v>
      </c>
      <c r="L6">
        <v>4.2</v>
      </c>
      <c r="M6">
        <v>741341.44</v>
      </c>
      <c r="N6">
        <v>119208.17</v>
      </c>
    </row>
    <row r="7" spans="1:14">
      <c r="A7" t="s">
        <v>17</v>
      </c>
      <c r="B7" s="3">
        <v>45689</v>
      </c>
      <c r="C7" t="s">
        <v>15</v>
      </c>
      <c r="D7" t="s">
        <v>18</v>
      </c>
      <c r="E7">
        <v>64811.21</v>
      </c>
      <c r="F7">
        <v>9792</v>
      </c>
      <c r="G7">
        <v>0.112</v>
      </c>
      <c r="H7">
        <v>20</v>
      </c>
      <c r="I7">
        <v>84.2</v>
      </c>
      <c r="J7">
        <v>2.88</v>
      </c>
      <c r="K7">
        <v>0</v>
      </c>
      <c r="L7">
        <v>4.2</v>
      </c>
      <c r="M7">
        <v>761835.34</v>
      </c>
      <c r="N7">
        <v>149602.23000000001</v>
      </c>
    </row>
    <row r="8" spans="1:14">
      <c r="A8" t="s">
        <v>17</v>
      </c>
      <c r="B8" s="3">
        <v>45717</v>
      </c>
      <c r="C8" t="s">
        <v>15</v>
      </c>
      <c r="D8" t="s">
        <v>18</v>
      </c>
      <c r="E8">
        <v>46213.45</v>
      </c>
      <c r="F8">
        <v>10616</v>
      </c>
      <c r="G8">
        <v>0.122</v>
      </c>
      <c r="H8">
        <v>22</v>
      </c>
      <c r="I8">
        <v>85.2</v>
      </c>
      <c r="J8">
        <v>0.2</v>
      </c>
      <c r="K8">
        <v>1</v>
      </c>
      <c r="L8">
        <v>4.0999999999999996</v>
      </c>
      <c r="M8">
        <v>806615.54</v>
      </c>
      <c r="N8">
        <v>131364.62</v>
      </c>
    </row>
    <row r="9" spans="1:14">
      <c r="A9" t="s">
        <v>17</v>
      </c>
      <c r="B9" s="3">
        <v>45748</v>
      </c>
      <c r="C9" t="s">
        <v>15</v>
      </c>
      <c r="D9" t="s">
        <v>18</v>
      </c>
      <c r="E9">
        <v>68148.52</v>
      </c>
      <c r="F9">
        <v>8567</v>
      </c>
      <c r="G9">
        <v>0.127</v>
      </c>
      <c r="H9">
        <v>23</v>
      </c>
      <c r="I9">
        <v>95.6</v>
      </c>
      <c r="J9">
        <v>0.8</v>
      </c>
      <c r="K9">
        <v>0</v>
      </c>
      <c r="L9">
        <v>3.9</v>
      </c>
      <c r="M9">
        <v>850164.26</v>
      </c>
      <c r="N9">
        <v>149262.75</v>
      </c>
    </row>
    <row r="10" spans="1:14">
      <c r="A10" t="s">
        <v>19</v>
      </c>
      <c r="B10" s="3">
        <v>45658</v>
      </c>
      <c r="C10" t="s">
        <v>20</v>
      </c>
      <c r="D10" t="s">
        <v>21</v>
      </c>
      <c r="E10">
        <v>71838.86</v>
      </c>
      <c r="F10">
        <v>10979</v>
      </c>
      <c r="G10">
        <v>0.215</v>
      </c>
      <c r="H10">
        <v>26</v>
      </c>
      <c r="I10">
        <v>88.6</v>
      </c>
      <c r="J10">
        <v>7.7</v>
      </c>
      <c r="K10">
        <v>1</v>
      </c>
      <c r="L10">
        <v>3.8</v>
      </c>
      <c r="M10">
        <v>930581.7</v>
      </c>
      <c r="N10">
        <v>136207.98000000001</v>
      </c>
    </row>
    <row r="11" spans="1:14">
      <c r="A11" t="s">
        <v>19</v>
      </c>
      <c r="B11" s="3">
        <v>45689</v>
      </c>
      <c r="C11" t="s">
        <v>20</v>
      </c>
      <c r="D11" t="s">
        <v>21</v>
      </c>
      <c r="E11">
        <v>68133.440000000002</v>
      </c>
      <c r="F11">
        <v>9459</v>
      </c>
      <c r="G11">
        <v>0.22</v>
      </c>
      <c r="H11">
        <v>21</v>
      </c>
      <c r="I11">
        <v>85</v>
      </c>
      <c r="J11">
        <v>1.91</v>
      </c>
      <c r="K11">
        <v>0</v>
      </c>
      <c r="L11">
        <v>4.2</v>
      </c>
      <c r="M11">
        <v>779010.94</v>
      </c>
      <c r="N11">
        <v>106328.09</v>
      </c>
    </row>
    <row r="12" spans="1:14">
      <c r="A12" t="s">
        <v>19</v>
      </c>
      <c r="B12" s="3">
        <v>45717</v>
      </c>
      <c r="C12" t="s">
        <v>20</v>
      </c>
      <c r="D12" t="s">
        <v>21</v>
      </c>
      <c r="E12">
        <v>34285.21</v>
      </c>
      <c r="F12">
        <v>9172</v>
      </c>
      <c r="G12">
        <v>0.21299999999999999</v>
      </c>
      <c r="H12">
        <v>22</v>
      </c>
      <c r="I12">
        <v>88.3</v>
      </c>
      <c r="J12">
        <v>10.46</v>
      </c>
      <c r="K12">
        <v>1</v>
      </c>
      <c r="L12">
        <v>3.8</v>
      </c>
      <c r="M12">
        <v>723060.76</v>
      </c>
      <c r="N12">
        <v>123131.24</v>
      </c>
    </row>
    <row r="13" spans="1:14">
      <c r="A13" t="s">
        <v>19</v>
      </c>
      <c r="B13" s="3">
        <v>45748</v>
      </c>
      <c r="C13" t="s">
        <v>20</v>
      </c>
      <c r="D13" t="s">
        <v>21</v>
      </c>
      <c r="E13">
        <v>67979.88</v>
      </c>
      <c r="F13">
        <v>11230</v>
      </c>
      <c r="G13">
        <v>2E-3</v>
      </c>
      <c r="H13">
        <v>28</v>
      </c>
      <c r="I13">
        <v>85.3</v>
      </c>
      <c r="J13">
        <v>7.16</v>
      </c>
      <c r="K13">
        <v>0</v>
      </c>
      <c r="L13">
        <v>3.8</v>
      </c>
      <c r="M13">
        <v>910791.94</v>
      </c>
      <c r="N13">
        <v>158891.28</v>
      </c>
    </row>
    <row r="14" spans="1:14">
      <c r="A14" t="s">
        <v>22</v>
      </c>
      <c r="B14" s="3">
        <v>45658</v>
      </c>
      <c r="C14" t="s">
        <v>15</v>
      </c>
      <c r="D14" t="s">
        <v>16</v>
      </c>
      <c r="E14">
        <v>71828.259999999995</v>
      </c>
      <c r="F14">
        <v>12775</v>
      </c>
      <c r="G14">
        <v>0.11600000000000001</v>
      </c>
      <c r="H14">
        <v>30</v>
      </c>
      <c r="I14">
        <v>81.7</v>
      </c>
      <c r="J14">
        <v>4.24</v>
      </c>
      <c r="K14">
        <v>1</v>
      </c>
      <c r="L14">
        <v>4.2</v>
      </c>
      <c r="M14">
        <v>922168.6</v>
      </c>
      <c r="N14">
        <v>107494.53</v>
      </c>
    </row>
    <row r="15" spans="1:14">
      <c r="A15" t="s">
        <v>22</v>
      </c>
      <c r="B15" s="3">
        <v>45689</v>
      </c>
      <c r="C15" t="s">
        <v>15</v>
      </c>
      <c r="D15" t="s">
        <v>16</v>
      </c>
      <c r="E15">
        <v>55716.82</v>
      </c>
      <c r="F15">
        <v>10054</v>
      </c>
      <c r="G15">
        <v>0.14599999999999999</v>
      </c>
      <c r="H15">
        <v>24</v>
      </c>
      <c r="I15">
        <v>84.9</v>
      </c>
      <c r="J15">
        <v>1.06</v>
      </c>
      <c r="K15">
        <v>0</v>
      </c>
      <c r="L15">
        <v>4.3</v>
      </c>
      <c r="M15">
        <v>726606.28</v>
      </c>
      <c r="N15">
        <v>122729.29</v>
      </c>
    </row>
    <row r="16" spans="1:14">
      <c r="A16" t="s">
        <v>22</v>
      </c>
      <c r="B16" s="3">
        <v>45717</v>
      </c>
      <c r="C16" t="s">
        <v>15</v>
      </c>
      <c r="D16" t="s">
        <v>16</v>
      </c>
      <c r="E16">
        <v>59909.51</v>
      </c>
      <c r="F16">
        <v>8895</v>
      </c>
      <c r="G16">
        <v>0.22800000000000001</v>
      </c>
      <c r="H16">
        <v>23</v>
      </c>
      <c r="I16">
        <v>88.8</v>
      </c>
      <c r="J16">
        <v>0.27</v>
      </c>
      <c r="K16">
        <v>0</v>
      </c>
      <c r="L16">
        <v>4.3</v>
      </c>
      <c r="M16">
        <v>746501.09</v>
      </c>
      <c r="N16">
        <v>136816.72</v>
      </c>
    </row>
    <row r="17" spans="1:14">
      <c r="A17" t="s">
        <v>22</v>
      </c>
      <c r="B17" s="3">
        <v>45748</v>
      </c>
      <c r="C17" t="s">
        <v>15</v>
      </c>
      <c r="D17" t="s">
        <v>16</v>
      </c>
      <c r="E17">
        <v>75305.710000000006</v>
      </c>
      <c r="F17">
        <v>10940</v>
      </c>
      <c r="G17">
        <v>6.0000000000000001E-3</v>
      </c>
      <c r="H17">
        <v>26</v>
      </c>
      <c r="I17">
        <v>76.5</v>
      </c>
      <c r="J17">
        <v>1.32</v>
      </c>
      <c r="K17">
        <v>0</v>
      </c>
      <c r="L17">
        <v>4.5</v>
      </c>
      <c r="M17">
        <v>834017.02</v>
      </c>
      <c r="N17">
        <v>114745.03</v>
      </c>
    </row>
    <row r="18" spans="1:14">
      <c r="A18" t="s">
        <v>23</v>
      </c>
      <c r="B18" s="3">
        <v>45658</v>
      </c>
      <c r="C18" t="s">
        <v>24</v>
      </c>
      <c r="D18" t="s">
        <v>16</v>
      </c>
      <c r="E18">
        <v>48804.22</v>
      </c>
      <c r="F18">
        <v>7057</v>
      </c>
      <c r="G18">
        <v>5.0000000000000001E-3</v>
      </c>
      <c r="H18">
        <v>15</v>
      </c>
      <c r="I18">
        <v>87.7</v>
      </c>
      <c r="J18">
        <v>1.22</v>
      </c>
      <c r="K18">
        <v>0</v>
      </c>
      <c r="L18">
        <v>3.7</v>
      </c>
      <c r="M18">
        <v>666152.52</v>
      </c>
      <c r="N18">
        <v>107490.58</v>
      </c>
    </row>
    <row r="19" spans="1:14">
      <c r="A19" t="s">
        <v>23</v>
      </c>
      <c r="B19" s="3">
        <v>45689</v>
      </c>
      <c r="C19" t="s">
        <v>24</v>
      </c>
      <c r="D19" t="s">
        <v>16</v>
      </c>
      <c r="E19">
        <v>59117.9</v>
      </c>
      <c r="F19">
        <v>4263</v>
      </c>
      <c r="G19">
        <v>0.11899999999999999</v>
      </c>
      <c r="H19">
        <v>9</v>
      </c>
      <c r="I19">
        <v>87.6</v>
      </c>
      <c r="J19">
        <v>4.01</v>
      </c>
      <c r="K19">
        <v>0</v>
      </c>
      <c r="L19">
        <v>3.6</v>
      </c>
      <c r="M19">
        <v>573155.18999999994</v>
      </c>
      <c r="N19">
        <v>83680.75</v>
      </c>
    </row>
    <row r="20" spans="1:14">
      <c r="A20" t="s">
        <v>23</v>
      </c>
      <c r="B20" s="3">
        <v>45717</v>
      </c>
      <c r="C20" t="s">
        <v>24</v>
      </c>
      <c r="D20" t="s">
        <v>16</v>
      </c>
      <c r="E20">
        <v>78831.12</v>
      </c>
      <c r="F20">
        <v>5538</v>
      </c>
      <c r="G20">
        <v>0</v>
      </c>
      <c r="H20">
        <v>15</v>
      </c>
      <c r="I20">
        <v>94.1</v>
      </c>
      <c r="J20">
        <v>0.2</v>
      </c>
      <c r="K20">
        <v>0</v>
      </c>
      <c r="L20">
        <v>3.9</v>
      </c>
      <c r="M20">
        <v>666573.19999999995</v>
      </c>
      <c r="N20">
        <v>140641.01999999999</v>
      </c>
    </row>
    <row r="21" spans="1:14">
      <c r="A21" t="s">
        <v>23</v>
      </c>
      <c r="B21" s="3">
        <v>45748</v>
      </c>
      <c r="C21" t="s">
        <v>24</v>
      </c>
      <c r="D21" t="s">
        <v>16</v>
      </c>
      <c r="E21">
        <v>41441.93</v>
      </c>
      <c r="F21">
        <v>4865</v>
      </c>
      <c r="G21">
        <v>0.158</v>
      </c>
      <c r="H21">
        <v>16</v>
      </c>
      <c r="I21">
        <v>88.3</v>
      </c>
      <c r="J21">
        <v>0.5</v>
      </c>
      <c r="K21">
        <v>0</v>
      </c>
      <c r="L21">
        <v>4</v>
      </c>
      <c r="M21">
        <v>591619.94999999995</v>
      </c>
      <c r="N21">
        <v>99521.35</v>
      </c>
    </row>
    <row r="22" spans="1:14">
      <c r="A22" t="s">
        <v>25</v>
      </c>
      <c r="B22" s="3">
        <v>45658</v>
      </c>
      <c r="C22" t="s">
        <v>20</v>
      </c>
      <c r="D22" t="s">
        <v>16</v>
      </c>
      <c r="E22">
        <v>30356.28</v>
      </c>
      <c r="F22">
        <v>2822</v>
      </c>
      <c r="G22">
        <v>0.23100000000000001</v>
      </c>
      <c r="H22">
        <v>9</v>
      </c>
      <c r="I22">
        <v>84.8</v>
      </c>
      <c r="J22">
        <v>6.95</v>
      </c>
      <c r="K22">
        <v>0</v>
      </c>
      <c r="L22">
        <v>5</v>
      </c>
      <c r="M22">
        <v>415721.82</v>
      </c>
      <c r="N22">
        <v>61179.15</v>
      </c>
    </row>
    <row r="23" spans="1:14">
      <c r="A23" t="s">
        <v>25</v>
      </c>
      <c r="B23" s="3">
        <v>45689</v>
      </c>
      <c r="C23" t="s">
        <v>20</v>
      </c>
      <c r="D23" t="s">
        <v>16</v>
      </c>
      <c r="E23">
        <v>33518.879999999997</v>
      </c>
      <c r="F23">
        <v>2121</v>
      </c>
      <c r="G23">
        <v>0.17599999999999999</v>
      </c>
      <c r="H23">
        <v>8</v>
      </c>
      <c r="I23">
        <v>88.5</v>
      </c>
      <c r="J23">
        <v>0.2</v>
      </c>
      <c r="K23">
        <v>0</v>
      </c>
      <c r="L23">
        <v>5</v>
      </c>
      <c r="M23">
        <v>491905.13</v>
      </c>
      <c r="N23">
        <v>79212.259999999995</v>
      </c>
    </row>
    <row r="24" spans="1:14">
      <c r="A24" t="s">
        <v>25</v>
      </c>
      <c r="B24" s="3">
        <v>45717</v>
      </c>
      <c r="C24" t="s">
        <v>20</v>
      </c>
      <c r="D24" t="s">
        <v>16</v>
      </c>
      <c r="E24">
        <v>42267.37</v>
      </c>
      <c r="F24">
        <v>3364</v>
      </c>
      <c r="G24">
        <v>0.16</v>
      </c>
      <c r="H24">
        <v>13</v>
      </c>
      <c r="I24">
        <v>82</v>
      </c>
      <c r="J24">
        <v>1.61</v>
      </c>
      <c r="K24">
        <v>1</v>
      </c>
      <c r="L24">
        <v>4.5999999999999996</v>
      </c>
      <c r="M24">
        <v>555929.4</v>
      </c>
      <c r="N24">
        <v>115201.76</v>
      </c>
    </row>
    <row r="25" spans="1:14">
      <c r="A25" t="s">
        <v>25</v>
      </c>
      <c r="B25" s="3">
        <v>45748</v>
      </c>
      <c r="C25" t="s">
        <v>20</v>
      </c>
      <c r="D25" t="s">
        <v>16</v>
      </c>
      <c r="E25">
        <v>62060.43</v>
      </c>
      <c r="F25">
        <v>2613</v>
      </c>
      <c r="G25">
        <v>0.216</v>
      </c>
      <c r="H25">
        <v>12</v>
      </c>
      <c r="I25">
        <v>92.1</v>
      </c>
      <c r="J25">
        <v>1.55</v>
      </c>
      <c r="K25">
        <v>0</v>
      </c>
      <c r="L25">
        <v>4.7</v>
      </c>
      <c r="M25">
        <v>565810.99</v>
      </c>
      <c r="N25">
        <v>77825.460000000006</v>
      </c>
    </row>
    <row r="26" spans="1:14">
      <c r="A26" t="s">
        <v>26</v>
      </c>
      <c r="B26" s="3">
        <v>45658</v>
      </c>
      <c r="C26" t="s">
        <v>27</v>
      </c>
      <c r="D26" t="s">
        <v>28</v>
      </c>
      <c r="E26">
        <v>57696.69</v>
      </c>
      <c r="F26">
        <v>10218</v>
      </c>
      <c r="G26">
        <v>0.121</v>
      </c>
      <c r="H26">
        <v>25</v>
      </c>
      <c r="I26">
        <v>94.8</v>
      </c>
      <c r="J26">
        <v>2.99</v>
      </c>
      <c r="K26">
        <v>0</v>
      </c>
      <c r="L26">
        <v>3.5</v>
      </c>
      <c r="M26">
        <v>811771.14</v>
      </c>
      <c r="N26">
        <v>148756.24</v>
      </c>
    </row>
    <row r="27" spans="1:14">
      <c r="A27" t="s">
        <v>26</v>
      </c>
      <c r="B27" s="3">
        <v>45689</v>
      </c>
      <c r="C27" t="s">
        <v>27</v>
      </c>
      <c r="D27" t="s">
        <v>28</v>
      </c>
      <c r="E27">
        <v>172415.52</v>
      </c>
      <c r="F27">
        <v>8927</v>
      </c>
      <c r="G27">
        <v>0.14000000000000001</v>
      </c>
      <c r="H27">
        <v>22</v>
      </c>
      <c r="I27">
        <v>86.2</v>
      </c>
      <c r="J27">
        <v>7.04</v>
      </c>
      <c r="K27">
        <v>0</v>
      </c>
      <c r="L27">
        <v>3.9</v>
      </c>
      <c r="M27">
        <v>800451.94</v>
      </c>
      <c r="N27">
        <v>111572.29</v>
      </c>
    </row>
    <row r="28" spans="1:14">
      <c r="A28" t="s">
        <v>26</v>
      </c>
      <c r="B28" s="3">
        <v>45717</v>
      </c>
      <c r="C28" t="s">
        <v>27</v>
      </c>
      <c r="D28" t="s">
        <v>28</v>
      </c>
      <c r="E28">
        <v>55270.52</v>
      </c>
      <c r="F28">
        <v>9315</v>
      </c>
      <c r="G28">
        <v>0.16900000000000001</v>
      </c>
      <c r="H28">
        <v>23</v>
      </c>
      <c r="I28">
        <v>91.9</v>
      </c>
      <c r="J28">
        <v>4.9400000000000004</v>
      </c>
      <c r="K28">
        <v>0</v>
      </c>
      <c r="L28">
        <v>4</v>
      </c>
      <c r="M28">
        <v>783672.82</v>
      </c>
      <c r="N28">
        <v>112577.14</v>
      </c>
    </row>
    <row r="29" spans="1:14">
      <c r="A29" t="s">
        <v>26</v>
      </c>
      <c r="B29" s="3">
        <v>45748</v>
      </c>
      <c r="C29" t="s">
        <v>27</v>
      </c>
      <c r="D29" t="s">
        <v>28</v>
      </c>
      <c r="E29">
        <v>52715.1</v>
      </c>
      <c r="F29">
        <v>7223</v>
      </c>
      <c r="G29">
        <v>0.122</v>
      </c>
      <c r="H29">
        <v>16</v>
      </c>
      <c r="I29">
        <v>84.2</v>
      </c>
      <c r="J29">
        <v>16.149999999999999</v>
      </c>
      <c r="K29">
        <v>0</v>
      </c>
      <c r="L29">
        <v>3.7</v>
      </c>
      <c r="M29">
        <v>701641.97</v>
      </c>
      <c r="N29">
        <v>106111.86</v>
      </c>
    </row>
    <row r="30" spans="1:14">
      <c r="A30" t="s">
        <v>29</v>
      </c>
      <c r="B30" s="3">
        <v>45658</v>
      </c>
      <c r="C30" t="s">
        <v>15</v>
      </c>
      <c r="D30" t="s">
        <v>16</v>
      </c>
      <c r="E30">
        <v>68600.62</v>
      </c>
      <c r="F30">
        <v>3988</v>
      </c>
      <c r="G30">
        <v>0.124</v>
      </c>
      <c r="H30">
        <v>11</v>
      </c>
      <c r="I30">
        <v>85</v>
      </c>
      <c r="J30">
        <v>0.48</v>
      </c>
      <c r="K30">
        <v>0</v>
      </c>
      <c r="L30">
        <v>3.6</v>
      </c>
      <c r="M30">
        <v>511844.41</v>
      </c>
      <c r="N30">
        <v>72774.44</v>
      </c>
    </row>
    <row r="31" spans="1:14">
      <c r="A31" t="s">
        <v>29</v>
      </c>
      <c r="B31" s="3">
        <v>45689</v>
      </c>
      <c r="C31" t="s">
        <v>15</v>
      </c>
      <c r="D31" t="s">
        <v>16</v>
      </c>
      <c r="E31">
        <v>63176.73</v>
      </c>
      <c r="F31">
        <v>2390</v>
      </c>
      <c r="G31">
        <v>0.216</v>
      </c>
      <c r="H31">
        <v>9</v>
      </c>
      <c r="I31">
        <v>87.5</v>
      </c>
      <c r="J31">
        <v>0.31</v>
      </c>
      <c r="K31">
        <v>0</v>
      </c>
      <c r="L31">
        <v>3.1</v>
      </c>
      <c r="M31">
        <v>537383.79</v>
      </c>
      <c r="N31">
        <v>63773.27</v>
      </c>
    </row>
    <row r="32" spans="1:14">
      <c r="A32" t="s">
        <v>29</v>
      </c>
      <c r="B32" s="3">
        <v>45717</v>
      </c>
      <c r="C32" t="s">
        <v>15</v>
      </c>
      <c r="D32" t="s">
        <v>16</v>
      </c>
      <c r="E32">
        <v>44970.080000000002</v>
      </c>
      <c r="F32">
        <v>2471</v>
      </c>
      <c r="G32">
        <v>0.13600000000000001</v>
      </c>
      <c r="H32">
        <v>11</v>
      </c>
      <c r="I32">
        <v>87.6</v>
      </c>
      <c r="J32">
        <v>3.01</v>
      </c>
      <c r="K32">
        <v>1</v>
      </c>
      <c r="L32">
        <v>3.7</v>
      </c>
      <c r="M32">
        <v>500173.02</v>
      </c>
      <c r="N32">
        <v>70982.05</v>
      </c>
    </row>
    <row r="33" spans="1:14">
      <c r="A33" t="s">
        <v>29</v>
      </c>
      <c r="B33" s="3">
        <v>45748</v>
      </c>
      <c r="C33" t="s">
        <v>15</v>
      </c>
      <c r="D33" t="s">
        <v>16</v>
      </c>
      <c r="E33">
        <v>69816.350000000006</v>
      </c>
      <c r="F33">
        <v>971</v>
      </c>
      <c r="G33">
        <v>0.16800000000000001</v>
      </c>
      <c r="H33">
        <v>5</v>
      </c>
      <c r="I33">
        <v>89.9</v>
      </c>
      <c r="J33">
        <v>12.15</v>
      </c>
      <c r="K33">
        <v>0</v>
      </c>
      <c r="L33">
        <v>3.6</v>
      </c>
      <c r="M33">
        <v>427917.38</v>
      </c>
      <c r="N33">
        <v>81824.31</v>
      </c>
    </row>
    <row r="34" spans="1:14">
      <c r="A34" t="s">
        <v>30</v>
      </c>
      <c r="B34" s="3">
        <v>45658</v>
      </c>
      <c r="C34" t="s">
        <v>20</v>
      </c>
      <c r="D34" t="s">
        <v>16</v>
      </c>
      <c r="E34">
        <v>54597.83</v>
      </c>
      <c r="F34">
        <v>9429</v>
      </c>
      <c r="G34">
        <v>0.188</v>
      </c>
      <c r="H34">
        <v>21</v>
      </c>
      <c r="I34">
        <v>83.3</v>
      </c>
      <c r="J34">
        <v>11.71</v>
      </c>
      <c r="K34">
        <v>0</v>
      </c>
      <c r="L34">
        <v>4.2</v>
      </c>
      <c r="M34">
        <v>641865.03</v>
      </c>
      <c r="N34">
        <v>81342.58</v>
      </c>
    </row>
    <row r="35" spans="1:14">
      <c r="A35" t="s">
        <v>30</v>
      </c>
      <c r="B35" s="3">
        <v>45689</v>
      </c>
      <c r="C35" t="s">
        <v>20</v>
      </c>
      <c r="D35" t="s">
        <v>16</v>
      </c>
      <c r="E35">
        <v>73771.91</v>
      </c>
      <c r="F35">
        <v>11695</v>
      </c>
      <c r="G35">
        <v>7.0000000000000007E-2</v>
      </c>
      <c r="H35">
        <v>25</v>
      </c>
      <c r="I35">
        <v>84.7</v>
      </c>
      <c r="J35">
        <v>0.62</v>
      </c>
      <c r="K35">
        <v>0</v>
      </c>
      <c r="M35">
        <v>799477.76000000001</v>
      </c>
      <c r="N35">
        <v>164974.41</v>
      </c>
    </row>
    <row r="36" spans="1:14">
      <c r="A36" t="s">
        <v>30</v>
      </c>
      <c r="B36" s="3">
        <v>45717</v>
      </c>
      <c r="C36" t="s">
        <v>20</v>
      </c>
      <c r="D36" t="s">
        <v>16</v>
      </c>
      <c r="E36">
        <v>74413.88</v>
      </c>
      <c r="F36">
        <v>9449</v>
      </c>
      <c r="G36">
        <v>3.9E-2</v>
      </c>
      <c r="H36">
        <v>23</v>
      </c>
      <c r="I36">
        <v>92.1</v>
      </c>
      <c r="J36">
        <v>2.12</v>
      </c>
      <c r="K36">
        <v>0</v>
      </c>
      <c r="L36">
        <v>3.5</v>
      </c>
      <c r="M36">
        <v>798952.17</v>
      </c>
      <c r="N36">
        <v>161499.04</v>
      </c>
    </row>
    <row r="37" spans="1:14">
      <c r="A37" t="s">
        <v>30</v>
      </c>
      <c r="B37" s="3">
        <v>45748</v>
      </c>
      <c r="C37" t="s">
        <v>20</v>
      </c>
      <c r="D37" t="s">
        <v>16</v>
      </c>
      <c r="E37">
        <v>52483.77</v>
      </c>
      <c r="F37">
        <v>10453</v>
      </c>
      <c r="G37">
        <v>0.247</v>
      </c>
      <c r="H37">
        <v>25</v>
      </c>
      <c r="I37">
        <v>99</v>
      </c>
      <c r="J37">
        <v>6.31</v>
      </c>
      <c r="K37">
        <v>0</v>
      </c>
      <c r="L37">
        <v>3.6</v>
      </c>
      <c r="M37">
        <v>800979.78</v>
      </c>
      <c r="N37">
        <v>149242.26999999999</v>
      </c>
    </row>
    <row r="38" spans="1:14">
      <c r="A38" t="s">
        <v>31</v>
      </c>
      <c r="B38" s="3">
        <v>45658</v>
      </c>
      <c r="C38" t="s">
        <v>20</v>
      </c>
      <c r="D38" t="s">
        <v>28</v>
      </c>
      <c r="E38">
        <v>75269.87</v>
      </c>
      <c r="F38">
        <v>8838</v>
      </c>
      <c r="G38">
        <v>9.1999999999999998E-2</v>
      </c>
      <c r="H38">
        <v>21</v>
      </c>
      <c r="I38">
        <v>83.1</v>
      </c>
      <c r="J38">
        <v>9.56</v>
      </c>
      <c r="K38">
        <v>1</v>
      </c>
      <c r="L38">
        <v>4.2</v>
      </c>
      <c r="M38">
        <v>820593.93</v>
      </c>
      <c r="N38">
        <v>115860.06</v>
      </c>
    </row>
    <row r="39" spans="1:14">
      <c r="A39" t="s">
        <v>31</v>
      </c>
      <c r="B39" s="3">
        <v>45689</v>
      </c>
      <c r="C39" t="s">
        <v>20</v>
      </c>
      <c r="D39" t="s">
        <v>28</v>
      </c>
      <c r="E39">
        <v>61245.41</v>
      </c>
      <c r="F39">
        <v>8156</v>
      </c>
      <c r="G39">
        <v>0.156</v>
      </c>
      <c r="H39">
        <v>19</v>
      </c>
      <c r="I39">
        <v>92.9</v>
      </c>
      <c r="J39">
        <v>9.0500000000000007</v>
      </c>
      <c r="K39">
        <v>0</v>
      </c>
      <c r="L39">
        <v>3.8</v>
      </c>
      <c r="M39">
        <v>718330.53</v>
      </c>
      <c r="N39">
        <v>93247.9</v>
      </c>
    </row>
    <row r="40" spans="1:14">
      <c r="A40" t="s">
        <v>31</v>
      </c>
      <c r="B40" s="3">
        <v>45717</v>
      </c>
      <c r="C40" t="s">
        <v>20</v>
      </c>
      <c r="D40" t="s">
        <v>28</v>
      </c>
      <c r="E40">
        <v>93381.26</v>
      </c>
      <c r="F40">
        <v>7562</v>
      </c>
      <c r="G40">
        <v>0.19800000000000001</v>
      </c>
      <c r="H40">
        <v>19</v>
      </c>
      <c r="I40">
        <v>82.9</v>
      </c>
      <c r="J40">
        <v>5.05</v>
      </c>
      <c r="K40">
        <v>0</v>
      </c>
      <c r="L40">
        <v>4</v>
      </c>
      <c r="M40">
        <v>736633.4</v>
      </c>
      <c r="N40">
        <v>115654.66</v>
      </c>
    </row>
    <row r="41" spans="1:14">
      <c r="A41" t="s">
        <v>31</v>
      </c>
      <c r="B41" s="3">
        <v>45748</v>
      </c>
      <c r="C41" t="s">
        <v>20</v>
      </c>
      <c r="D41" t="s">
        <v>28</v>
      </c>
      <c r="E41">
        <v>65012.19</v>
      </c>
      <c r="F41">
        <v>9598</v>
      </c>
      <c r="G41">
        <v>8.5000000000000006E-2</v>
      </c>
      <c r="H41">
        <v>24</v>
      </c>
      <c r="I41">
        <v>98.3</v>
      </c>
      <c r="J41">
        <v>0.89</v>
      </c>
      <c r="K41">
        <v>0</v>
      </c>
      <c r="L41">
        <v>3.8</v>
      </c>
      <c r="M41">
        <v>828623.85</v>
      </c>
      <c r="N41">
        <v>167320.51999999999</v>
      </c>
    </row>
    <row r="42" spans="1:14">
      <c r="A42" t="s">
        <v>32</v>
      </c>
      <c r="B42" s="3">
        <v>45658</v>
      </c>
      <c r="C42" t="s">
        <v>15</v>
      </c>
      <c r="D42" t="s">
        <v>28</v>
      </c>
      <c r="E42">
        <v>40462.94</v>
      </c>
      <c r="F42">
        <v>3660</v>
      </c>
      <c r="G42">
        <v>0.218</v>
      </c>
      <c r="H42">
        <v>11</v>
      </c>
      <c r="I42">
        <v>95.2</v>
      </c>
      <c r="J42">
        <v>5.57</v>
      </c>
      <c r="K42">
        <v>0</v>
      </c>
      <c r="L42">
        <v>4.4000000000000004</v>
      </c>
      <c r="M42">
        <v>592195.85</v>
      </c>
      <c r="N42">
        <v>92291.56</v>
      </c>
    </row>
    <row r="43" spans="1:14">
      <c r="A43" t="s">
        <v>32</v>
      </c>
      <c r="B43" s="3">
        <v>45689</v>
      </c>
      <c r="C43" t="s">
        <v>15</v>
      </c>
      <c r="D43" t="s">
        <v>28</v>
      </c>
      <c r="E43">
        <v>46123.88</v>
      </c>
      <c r="F43">
        <v>3227</v>
      </c>
      <c r="G43">
        <v>0.14299999999999999</v>
      </c>
      <c r="H43">
        <v>10</v>
      </c>
      <c r="I43">
        <v>75.400000000000006</v>
      </c>
      <c r="J43">
        <v>1.06</v>
      </c>
      <c r="K43">
        <v>0</v>
      </c>
      <c r="L43">
        <v>4.4000000000000004</v>
      </c>
      <c r="M43">
        <v>532644.46</v>
      </c>
      <c r="N43">
        <v>60681.32</v>
      </c>
    </row>
    <row r="44" spans="1:14">
      <c r="A44" t="s">
        <v>32</v>
      </c>
      <c r="B44" s="3">
        <v>45717</v>
      </c>
      <c r="C44" t="s">
        <v>15</v>
      </c>
      <c r="D44" t="s">
        <v>28</v>
      </c>
      <c r="E44">
        <v>68077.539999999994</v>
      </c>
      <c r="F44">
        <v>3360</v>
      </c>
      <c r="G44">
        <v>0.128</v>
      </c>
      <c r="H44">
        <v>14</v>
      </c>
      <c r="I44">
        <v>88.2</v>
      </c>
      <c r="J44">
        <v>1.24</v>
      </c>
      <c r="K44">
        <v>1</v>
      </c>
      <c r="L44">
        <v>4</v>
      </c>
      <c r="M44">
        <v>657429.18000000005</v>
      </c>
      <c r="N44">
        <v>88919.74</v>
      </c>
    </row>
    <row r="45" spans="1:14">
      <c r="A45" t="s">
        <v>32</v>
      </c>
      <c r="B45" s="3">
        <v>45748</v>
      </c>
      <c r="C45" t="s">
        <v>15</v>
      </c>
      <c r="D45" t="s">
        <v>28</v>
      </c>
      <c r="E45">
        <v>64882.14</v>
      </c>
      <c r="F45">
        <v>3642</v>
      </c>
      <c r="G45">
        <v>1.9E-2</v>
      </c>
      <c r="H45">
        <v>13</v>
      </c>
      <c r="I45">
        <v>87.8</v>
      </c>
      <c r="J45">
        <v>4.5199999999999996</v>
      </c>
      <c r="K45">
        <v>0</v>
      </c>
      <c r="L45">
        <v>4.2</v>
      </c>
      <c r="M45">
        <v>605178</v>
      </c>
      <c r="N45">
        <v>106958.74</v>
      </c>
    </row>
    <row r="46" spans="1:14">
      <c r="A46" t="s">
        <v>33</v>
      </c>
      <c r="B46" s="3">
        <v>45658</v>
      </c>
      <c r="C46" t="s">
        <v>27</v>
      </c>
      <c r="D46" t="s">
        <v>16</v>
      </c>
      <c r="E46">
        <v>138855.51</v>
      </c>
      <c r="F46">
        <v>5145</v>
      </c>
      <c r="G46">
        <v>0.06</v>
      </c>
      <c r="H46">
        <v>17</v>
      </c>
      <c r="I46">
        <v>88.2</v>
      </c>
      <c r="J46">
        <v>9.58</v>
      </c>
      <c r="K46">
        <v>0</v>
      </c>
      <c r="L46">
        <v>3.2</v>
      </c>
      <c r="M46">
        <v>595467.6</v>
      </c>
      <c r="N46">
        <v>104276.46</v>
      </c>
    </row>
    <row r="47" spans="1:14">
      <c r="A47" t="s">
        <v>33</v>
      </c>
      <c r="B47" s="3">
        <v>45689</v>
      </c>
      <c r="C47" t="s">
        <v>27</v>
      </c>
      <c r="D47" t="s">
        <v>16</v>
      </c>
      <c r="E47">
        <v>63630.21</v>
      </c>
      <c r="F47">
        <v>4460</v>
      </c>
      <c r="G47">
        <v>0.23499999999999999</v>
      </c>
      <c r="H47">
        <v>14</v>
      </c>
      <c r="I47">
        <v>98.6</v>
      </c>
      <c r="J47">
        <v>5.52</v>
      </c>
      <c r="K47">
        <v>0</v>
      </c>
      <c r="L47">
        <v>3.5</v>
      </c>
      <c r="M47">
        <v>599603.4</v>
      </c>
      <c r="N47">
        <v>112685.12</v>
      </c>
    </row>
    <row r="48" spans="1:14">
      <c r="A48" t="s">
        <v>33</v>
      </c>
      <c r="B48" s="3">
        <v>45717</v>
      </c>
      <c r="C48" t="s">
        <v>27</v>
      </c>
      <c r="D48" t="s">
        <v>16</v>
      </c>
      <c r="E48">
        <v>50043.65</v>
      </c>
      <c r="F48">
        <v>3804</v>
      </c>
      <c r="G48">
        <v>0.113</v>
      </c>
      <c r="H48">
        <v>11</v>
      </c>
      <c r="I48">
        <v>90.9</v>
      </c>
      <c r="J48">
        <v>2.7</v>
      </c>
      <c r="K48">
        <v>1</v>
      </c>
      <c r="L48">
        <v>3.2</v>
      </c>
      <c r="M48">
        <v>614800.09</v>
      </c>
      <c r="N48">
        <v>100044.2</v>
      </c>
    </row>
    <row r="49" spans="1:14">
      <c r="A49" t="s">
        <v>33</v>
      </c>
      <c r="B49" s="3">
        <v>45748</v>
      </c>
      <c r="C49" t="s">
        <v>27</v>
      </c>
      <c r="D49" t="s">
        <v>16</v>
      </c>
      <c r="E49">
        <v>42093.84</v>
      </c>
      <c r="F49">
        <v>4074</v>
      </c>
      <c r="G49">
        <v>0.155</v>
      </c>
      <c r="H49">
        <v>15</v>
      </c>
      <c r="I49">
        <v>88</v>
      </c>
      <c r="J49">
        <v>9.64</v>
      </c>
      <c r="K49">
        <v>0</v>
      </c>
      <c r="L49">
        <v>3.3</v>
      </c>
      <c r="M49">
        <v>585365.73</v>
      </c>
      <c r="N49">
        <v>81011.520000000004</v>
      </c>
    </row>
    <row r="50" spans="1:14">
      <c r="A50" t="s">
        <v>34</v>
      </c>
      <c r="B50" s="3">
        <v>45658</v>
      </c>
      <c r="C50" t="s">
        <v>20</v>
      </c>
      <c r="D50" t="s">
        <v>28</v>
      </c>
      <c r="E50">
        <v>46624.05</v>
      </c>
      <c r="F50">
        <v>5104</v>
      </c>
      <c r="G50">
        <v>0.109</v>
      </c>
      <c r="H50">
        <v>11</v>
      </c>
      <c r="I50">
        <v>97.3</v>
      </c>
      <c r="J50">
        <v>3.49</v>
      </c>
      <c r="K50">
        <v>1</v>
      </c>
      <c r="L50">
        <v>4.7</v>
      </c>
      <c r="M50">
        <v>622811.74</v>
      </c>
      <c r="N50">
        <v>109978.35</v>
      </c>
    </row>
    <row r="51" spans="1:14">
      <c r="A51" t="s">
        <v>34</v>
      </c>
      <c r="B51" s="3">
        <v>45689</v>
      </c>
      <c r="C51" t="s">
        <v>20</v>
      </c>
      <c r="D51" t="s">
        <v>28</v>
      </c>
      <c r="E51">
        <v>49710.29</v>
      </c>
      <c r="F51">
        <v>5559</v>
      </c>
      <c r="G51">
        <v>0.218</v>
      </c>
      <c r="H51">
        <v>14</v>
      </c>
      <c r="I51">
        <v>71</v>
      </c>
      <c r="J51">
        <v>9.11</v>
      </c>
      <c r="K51">
        <v>0</v>
      </c>
      <c r="L51">
        <v>4.5999999999999996</v>
      </c>
      <c r="M51">
        <v>603297.56999999995</v>
      </c>
      <c r="N51">
        <v>60592.26</v>
      </c>
    </row>
    <row r="52" spans="1:14">
      <c r="A52" t="s">
        <v>34</v>
      </c>
      <c r="B52" s="3">
        <v>45717</v>
      </c>
      <c r="C52" t="s">
        <v>20</v>
      </c>
      <c r="D52" t="s">
        <v>28</v>
      </c>
      <c r="E52">
        <v>48287.85</v>
      </c>
      <c r="F52">
        <v>5150</v>
      </c>
      <c r="G52">
        <v>8.0000000000000002E-3</v>
      </c>
      <c r="H52">
        <v>12</v>
      </c>
      <c r="I52">
        <v>80.400000000000006</v>
      </c>
      <c r="J52">
        <v>7.4</v>
      </c>
      <c r="K52">
        <v>0</v>
      </c>
      <c r="L52">
        <v>4.5</v>
      </c>
      <c r="M52">
        <v>625672.86</v>
      </c>
      <c r="N52">
        <v>118020.12</v>
      </c>
    </row>
    <row r="53" spans="1:14">
      <c r="A53" t="s">
        <v>34</v>
      </c>
      <c r="B53" s="3">
        <v>45748</v>
      </c>
      <c r="C53" t="s">
        <v>20</v>
      </c>
      <c r="D53" t="s">
        <v>28</v>
      </c>
      <c r="E53">
        <v>65312.49</v>
      </c>
      <c r="F53">
        <v>7189</v>
      </c>
      <c r="G53">
        <v>0.05</v>
      </c>
      <c r="H53">
        <v>19</v>
      </c>
      <c r="I53">
        <v>93.7</v>
      </c>
      <c r="J53">
        <v>7.16</v>
      </c>
      <c r="K53">
        <v>0</v>
      </c>
      <c r="L53">
        <v>4.5999999999999996</v>
      </c>
      <c r="M53">
        <v>773815.14</v>
      </c>
      <c r="N53">
        <v>133948.39000000001</v>
      </c>
    </row>
    <row r="54" spans="1:14">
      <c r="A54" t="s">
        <v>35</v>
      </c>
      <c r="B54" s="3">
        <v>45658</v>
      </c>
      <c r="C54" t="s">
        <v>27</v>
      </c>
      <c r="D54" t="s">
        <v>18</v>
      </c>
      <c r="E54">
        <v>53015.46</v>
      </c>
      <c r="F54">
        <v>3279</v>
      </c>
      <c r="G54">
        <v>8.6999999999999994E-2</v>
      </c>
      <c r="H54">
        <v>9</v>
      </c>
      <c r="I54">
        <v>84.3</v>
      </c>
      <c r="J54">
        <v>22.02</v>
      </c>
      <c r="K54">
        <v>0</v>
      </c>
      <c r="L54">
        <v>3.9</v>
      </c>
      <c r="M54">
        <v>463534.25</v>
      </c>
      <c r="N54">
        <v>81834.539999999994</v>
      </c>
    </row>
    <row r="55" spans="1:14">
      <c r="A55" t="s">
        <v>35</v>
      </c>
      <c r="B55" s="3">
        <v>45689</v>
      </c>
      <c r="C55" t="s">
        <v>27</v>
      </c>
      <c r="D55" t="s">
        <v>18</v>
      </c>
      <c r="E55">
        <v>99874.01</v>
      </c>
      <c r="F55">
        <v>5887</v>
      </c>
      <c r="G55">
        <v>0.26200000000000001</v>
      </c>
      <c r="H55">
        <v>14</v>
      </c>
      <c r="I55">
        <v>88.7</v>
      </c>
      <c r="J55">
        <v>6.18</v>
      </c>
      <c r="K55">
        <v>0</v>
      </c>
      <c r="L55">
        <v>4.7</v>
      </c>
      <c r="M55">
        <v>746677.75</v>
      </c>
      <c r="N55">
        <v>122437.84</v>
      </c>
    </row>
    <row r="56" spans="1:14">
      <c r="A56" t="s">
        <v>35</v>
      </c>
      <c r="B56" s="3">
        <v>45717</v>
      </c>
      <c r="C56" t="s">
        <v>27</v>
      </c>
      <c r="D56" t="s">
        <v>18</v>
      </c>
      <c r="E56">
        <v>81195.5</v>
      </c>
      <c r="F56">
        <v>5516</v>
      </c>
      <c r="G56">
        <v>0.106</v>
      </c>
      <c r="H56">
        <v>14</v>
      </c>
      <c r="I56">
        <v>88</v>
      </c>
      <c r="J56">
        <v>1.76</v>
      </c>
      <c r="K56">
        <v>0</v>
      </c>
      <c r="L56">
        <v>4.3</v>
      </c>
      <c r="M56">
        <v>720852.5</v>
      </c>
      <c r="N56">
        <v>98565.62</v>
      </c>
    </row>
    <row r="57" spans="1:14">
      <c r="A57" t="s">
        <v>35</v>
      </c>
      <c r="B57" s="3">
        <v>45748</v>
      </c>
      <c r="C57" t="s">
        <v>27</v>
      </c>
      <c r="D57" t="s">
        <v>18</v>
      </c>
      <c r="E57">
        <v>27808.6</v>
      </c>
      <c r="F57">
        <v>2863</v>
      </c>
      <c r="G57">
        <v>0.08</v>
      </c>
      <c r="H57">
        <v>13</v>
      </c>
      <c r="I57">
        <v>89.3</v>
      </c>
      <c r="J57">
        <v>0.47</v>
      </c>
      <c r="K57">
        <v>0</v>
      </c>
      <c r="L57">
        <v>4.0999999999999996</v>
      </c>
      <c r="M57">
        <v>487464.91</v>
      </c>
      <c r="N57">
        <v>64562.26</v>
      </c>
    </row>
    <row r="58" spans="1:14">
      <c r="A58" t="s">
        <v>36</v>
      </c>
      <c r="B58" s="3">
        <v>45658</v>
      </c>
      <c r="C58" t="s">
        <v>15</v>
      </c>
      <c r="D58" t="s">
        <v>21</v>
      </c>
      <c r="E58">
        <v>19365.060000000001</v>
      </c>
      <c r="F58">
        <v>2378</v>
      </c>
      <c r="G58">
        <v>0</v>
      </c>
      <c r="H58">
        <v>12</v>
      </c>
      <c r="I58">
        <v>94.8</v>
      </c>
      <c r="J58">
        <v>0.2</v>
      </c>
      <c r="K58">
        <v>0</v>
      </c>
      <c r="L58">
        <v>3.5</v>
      </c>
      <c r="M58">
        <v>518049.26</v>
      </c>
      <c r="N58">
        <v>108592.49</v>
      </c>
    </row>
    <row r="59" spans="1:14">
      <c r="A59" t="s">
        <v>36</v>
      </c>
      <c r="B59" s="3">
        <v>45689</v>
      </c>
      <c r="C59" t="s">
        <v>15</v>
      </c>
      <c r="D59" t="s">
        <v>21</v>
      </c>
      <c r="E59">
        <v>59405.68</v>
      </c>
      <c r="F59">
        <v>2515</v>
      </c>
      <c r="G59">
        <v>3.9E-2</v>
      </c>
      <c r="H59">
        <v>12</v>
      </c>
      <c r="I59">
        <v>76</v>
      </c>
      <c r="J59">
        <v>5.1100000000000003</v>
      </c>
      <c r="K59">
        <v>0</v>
      </c>
      <c r="L59">
        <v>3.7</v>
      </c>
      <c r="M59">
        <v>500298.48</v>
      </c>
      <c r="N59">
        <v>73461.320000000007</v>
      </c>
    </row>
    <row r="60" spans="1:14">
      <c r="A60" t="s">
        <v>36</v>
      </c>
      <c r="B60" s="3">
        <v>45717</v>
      </c>
      <c r="C60" t="s">
        <v>15</v>
      </c>
      <c r="D60" t="s">
        <v>21</v>
      </c>
      <c r="E60">
        <v>118910.48</v>
      </c>
      <c r="F60">
        <v>4022</v>
      </c>
      <c r="G60">
        <v>0.13700000000000001</v>
      </c>
      <c r="H60">
        <v>11</v>
      </c>
      <c r="I60">
        <v>87.1</v>
      </c>
      <c r="J60">
        <v>0.2</v>
      </c>
      <c r="K60">
        <v>0</v>
      </c>
      <c r="L60">
        <v>3.1</v>
      </c>
      <c r="M60">
        <v>617291.15</v>
      </c>
      <c r="N60">
        <v>117782</v>
      </c>
    </row>
    <row r="61" spans="1:14">
      <c r="A61" t="s">
        <v>36</v>
      </c>
      <c r="B61" s="3">
        <v>45748</v>
      </c>
      <c r="C61" t="s">
        <v>15</v>
      </c>
      <c r="D61" t="s">
        <v>21</v>
      </c>
      <c r="E61">
        <v>52952.12</v>
      </c>
      <c r="F61">
        <v>4377</v>
      </c>
      <c r="G61">
        <v>9.1999999999999998E-2</v>
      </c>
      <c r="H61">
        <v>14</v>
      </c>
      <c r="I61">
        <v>88.6</v>
      </c>
      <c r="J61">
        <v>13.59</v>
      </c>
      <c r="K61">
        <v>0</v>
      </c>
      <c r="L61">
        <v>3.1</v>
      </c>
      <c r="M61">
        <v>553756.43000000005</v>
      </c>
      <c r="N61">
        <v>86166.77</v>
      </c>
    </row>
    <row r="62" spans="1:14">
      <c r="A62" t="s">
        <v>37</v>
      </c>
      <c r="B62" s="3">
        <v>45658</v>
      </c>
      <c r="C62" t="s">
        <v>24</v>
      </c>
      <c r="D62" t="s">
        <v>18</v>
      </c>
      <c r="E62">
        <v>74907.98</v>
      </c>
      <c r="F62">
        <v>5306</v>
      </c>
      <c r="G62">
        <v>6.2E-2</v>
      </c>
      <c r="H62">
        <v>16</v>
      </c>
      <c r="I62">
        <v>95.6</v>
      </c>
      <c r="J62">
        <v>1.02</v>
      </c>
      <c r="K62">
        <v>0</v>
      </c>
      <c r="L62">
        <v>3.7</v>
      </c>
      <c r="M62">
        <v>749559.71</v>
      </c>
      <c r="N62">
        <v>144522.53</v>
      </c>
    </row>
    <row r="63" spans="1:14">
      <c r="A63" t="s">
        <v>37</v>
      </c>
      <c r="B63" s="3">
        <v>45689</v>
      </c>
      <c r="C63" t="s">
        <v>24</v>
      </c>
      <c r="D63" t="s">
        <v>18</v>
      </c>
      <c r="E63">
        <v>37284.660000000003</v>
      </c>
      <c r="F63">
        <v>3928</v>
      </c>
      <c r="G63">
        <v>7.3999999999999996E-2</v>
      </c>
      <c r="H63">
        <v>12</v>
      </c>
      <c r="I63">
        <v>86.5</v>
      </c>
      <c r="J63">
        <v>1.64</v>
      </c>
      <c r="K63">
        <v>0</v>
      </c>
      <c r="L63">
        <v>3.8</v>
      </c>
      <c r="M63">
        <v>615966.48</v>
      </c>
      <c r="N63">
        <v>91509.38</v>
      </c>
    </row>
    <row r="64" spans="1:14">
      <c r="A64" t="s">
        <v>37</v>
      </c>
      <c r="B64" s="3">
        <v>45717</v>
      </c>
      <c r="C64" t="s">
        <v>24</v>
      </c>
      <c r="D64" t="s">
        <v>18</v>
      </c>
      <c r="E64">
        <v>50343.19</v>
      </c>
      <c r="F64">
        <v>3845</v>
      </c>
      <c r="G64">
        <v>0.113</v>
      </c>
      <c r="H64">
        <v>9</v>
      </c>
      <c r="I64">
        <v>88.7</v>
      </c>
      <c r="J64">
        <v>5.15</v>
      </c>
      <c r="K64">
        <v>0</v>
      </c>
      <c r="L64">
        <v>3.3</v>
      </c>
      <c r="M64">
        <v>572011.19999999995</v>
      </c>
      <c r="N64">
        <v>101409.68</v>
      </c>
    </row>
    <row r="65" spans="1:14">
      <c r="A65" t="s">
        <v>37</v>
      </c>
      <c r="B65" s="3">
        <v>45748</v>
      </c>
      <c r="C65" t="s">
        <v>24</v>
      </c>
      <c r="D65" t="s">
        <v>18</v>
      </c>
      <c r="E65">
        <v>74954.47</v>
      </c>
      <c r="F65">
        <v>6620</v>
      </c>
      <c r="G65">
        <v>5.3999999999999999E-2</v>
      </c>
      <c r="H65">
        <v>17</v>
      </c>
      <c r="I65">
        <v>91.1</v>
      </c>
      <c r="J65">
        <v>1.1100000000000001</v>
      </c>
      <c r="K65">
        <v>0</v>
      </c>
      <c r="L65">
        <v>3.5</v>
      </c>
      <c r="M65">
        <v>761860.19</v>
      </c>
      <c r="N65">
        <v>133279.38</v>
      </c>
    </row>
    <row r="66" spans="1:14">
      <c r="A66" t="s">
        <v>38</v>
      </c>
      <c r="B66" s="3">
        <v>45658</v>
      </c>
      <c r="C66" t="s">
        <v>27</v>
      </c>
      <c r="D66" t="s">
        <v>18</v>
      </c>
      <c r="E66">
        <v>70040.31</v>
      </c>
      <c r="F66">
        <v>9175</v>
      </c>
      <c r="G66">
        <v>0.107</v>
      </c>
      <c r="H66">
        <v>23</v>
      </c>
      <c r="I66">
        <v>95.1</v>
      </c>
      <c r="J66">
        <v>6.08</v>
      </c>
      <c r="K66">
        <v>1</v>
      </c>
      <c r="L66">
        <v>3.4</v>
      </c>
      <c r="M66">
        <v>784502.68</v>
      </c>
      <c r="N66">
        <v>129519.72</v>
      </c>
    </row>
    <row r="67" spans="1:14">
      <c r="A67" t="s">
        <v>38</v>
      </c>
      <c r="B67" s="3">
        <v>45689</v>
      </c>
      <c r="C67" t="s">
        <v>27</v>
      </c>
      <c r="D67" t="s">
        <v>18</v>
      </c>
      <c r="E67">
        <v>51148.69</v>
      </c>
      <c r="F67">
        <v>7940</v>
      </c>
      <c r="G67">
        <v>0.156</v>
      </c>
      <c r="H67">
        <v>18</v>
      </c>
      <c r="I67">
        <v>93.3</v>
      </c>
      <c r="J67">
        <v>10.91</v>
      </c>
      <c r="K67">
        <v>0</v>
      </c>
      <c r="L67">
        <v>3.6</v>
      </c>
      <c r="M67">
        <v>717141.55</v>
      </c>
      <c r="N67">
        <v>134013.60999999999</v>
      </c>
    </row>
    <row r="68" spans="1:14">
      <c r="A68" t="s">
        <v>38</v>
      </c>
      <c r="B68" s="3">
        <v>45717</v>
      </c>
      <c r="C68" t="s">
        <v>27</v>
      </c>
      <c r="D68" t="s">
        <v>18</v>
      </c>
      <c r="E68">
        <v>79346.100000000006</v>
      </c>
      <c r="F68">
        <v>9628</v>
      </c>
      <c r="G68">
        <v>0.10199999999999999</v>
      </c>
      <c r="H68">
        <v>20</v>
      </c>
      <c r="I68">
        <v>99</v>
      </c>
      <c r="J68">
        <v>19.010000000000002</v>
      </c>
      <c r="K68">
        <v>1</v>
      </c>
      <c r="L68">
        <v>3.2</v>
      </c>
      <c r="M68">
        <v>685379.08</v>
      </c>
      <c r="N68">
        <v>106898.82</v>
      </c>
    </row>
    <row r="69" spans="1:14">
      <c r="A69" t="s">
        <v>38</v>
      </c>
      <c r="B69" s="3">
        <v>45748</v>
      </c>
      <c r="C69" t="s">
        <v>27</v>
      </c>
      <c r="D69" t="s">
        <v>18</v>
      </c>
      <c r="E69">
        <v>42018.400000000001</v>
      </c>
      <c r="F69">
        <v>8296</v>
      </c>
      <c r="G69">
        <v>0.115</v>
      </c>
      <c r="H69">
        <v>17</v>
      </c>
      <c r="I69">
        <v>91.8</v>
      </c>
      <c r="J69">
        <v>0.77</v>
      </c>
      <c r="K69">
        <v>0</v>
      </c>
      <c r="L69">
        <v>3.4</v>
      </c>
      <c r="M69">
        <v>740496.65</v>
      </c>
      <c r="N69">
        <v>128020.9</v>
      </c>
    </row>
    <row r="70" spans="1:14">
      <c r="A70" t="s">
        <v>39</v>
      </c>
      <c r="B70" s="3">
        <v>45658</v>
      </c>
      <c r="C70" t="s">
        <v>15</v>
      </c>
      <c r="D70" t="s">
        <v>18</v>
      </c>
      <c r="E70">
        <v>70937.240000000005</v>
      </c>
      <c r="F70">
        <v>3595</v>
      </c>
      <c r="G70">
        <v>0.14099999999999999</v>
      </c>
      <c r="H70">
        <v>11</v>
      </c>
      <c r="I70">
        <v>88.9</v>
      </c>
      <c r="J70">
        <v>2.83</v>
      </c>
      <c r="K70">
        <v>1</v>
      </c>
      <c r="L70">
        <v>3.3</v>
      </c>
      <c r="M70">
        <v>661927.14</v>
      </c>
      <c r="N70">
        <v>79218.570000000007</v>
      </c>
    </row>
    <row r="71" spans="1:14">
      <c r="A71" t="s">
        <v>39</v>
      </c>
      <c r="B71" s="3">
        <v>45689</v>
      </c>
      <c r="C71" t="s">
        <v>15</v>
      </c>
      <c r="D71" t="s">
        <v>18</v>
      </c>
      <c r="E71">
        <v>36813.449999999997</v>
      </c>
      <c r="F71">
        <v>2834</v>
      </c>
      <c r="G71">
        <v>0.191</v>
      </c>
      <c r="H71">
        <v>11</v>
      </c>
      <c r="I71">
        <v>81.8</v>
      </c>
      <c r="J71">
        <v>2.33</v>
      </c>
      <c r="K71">
        <v>0</v>
      </c>
      <c r="L71">
        <v>3.3</v>
      </c>
      <c r="M71">
        <v>479050.5</v>
      </c>
      <c r="N71">
        <v>53651.11</v>
      </c>
    </row>
    <row r="72" spans="1:14">
      <c r="A72" t="s">
        <v>39</v>
      </c>
      <c r="B72" s="3">
        <v>45717</v>
      </c>
      <c r="C72" t="s">
        <v>15</v>
      </c>
      <c r="D72" t="s">
        <v>18</v>
      </c>
      <c r="E72">
        <v>60571.82</v>
      </c>
      <c r="F72">
        <v>3193</v>
      </c>
      <c r="G72">
        <v>0.19700000000000001</v>
      </c>
      <c r="H72">
        <v>7</v>
      </c>
      <c r="I72">
        <v>99</v>
      </c>
      <c r="J72">
        <v>1.43</v>
      </c>
      <c r="K72">
        <v>0</v>
      </c>
      <c r="L72">
        <v>3.2</v>
      </c>
      <c r="M72">
        <v>605023.87</v>
      </c>
      <c r="N72">
        <v>98545.81</v>
      </c>
    </row>
    <row r="73" spans="1:14">
      <c r="A73" t="s">
        <v>39</v>
      </c>
      <c r="B73" s="3">
        <v>45748</v>
      </c>
      <c r="C73" t="s">
        <v>15</v>
      </c>
      <c r="D73" t="s">
        <v>18</v>
      </c>
      <c r="E73">
        <v>55081.16</v>
      </c>
      <c r="F73">
        <v>5485</v>
      </c>
      <c r="G73">
        <v>3.5999999999999997E-2</v>
      </c>
      <c r="H73">
        <v>12</v>
      </c>
      <c r="I73">
        <v>88</v>
      </c>
      <c r="K73">
        <v>0</v>
      </c>
      <c r="L73">
        <v>3.5</v>
      </c>
      <c r="M73">
        <v>674774.09</v>
      </c>
      <c r="N73">
        <v>141917.59</v>
      </c>
    </row>
    <row r="74" spans="1:14">
      <c r="A74" t="s">
        <v>40</v>
      </c>
      <c r="B74" s="3">
        <v>45658</v>
      </c>
      <c r="C74" t="s">
        <v>15</v>
      </c>
      <c r="D74" t="s">
        <v>16</v>
      </c>
      <c r="E74">
        <v>46201.46</v>
      </c>
      <c r="F74">
        <v>5918</v>
      </c>
      <c r="G74">
        <v>0.27700000000000002</v>
      </c>
      <c r="H74">
        <v>13</v>
      </c>
      <c r="I74">
        <v>78.8</v>
      </c>
      <c r="J74">
        <v>4.91</v>
      </c>
      <c r="K74">
        <v>0</v>
      </c>
      <c r="L74">
        <v>4.5</v>
      </c>
      <c r="M74">
        <v>616069.41</v>
      </c>
      <c r="N74">
        <v>54453.99</v>
      </c>
    </row>
    <row r="75" spans="1:14">
      <c r="A75" t="s">
        <v>40</v>
      </c>
      <c r="B75" s="3">
        <v>45689</v>
      </c>
      <c r="C75" t="s">
        <v>15</v>
      </c>
      <c r="D75" t="s">
        <v>16</v>
      </c>
      <c r="E75">
        <v>53762.92</v>
      </c>
      <c r="F75">
        <v>6821</v>
      </c>
      <c r="G75">
        <v>6.6000000000000003E-2</v>
      </c>
      <c r="H75">
        <v>19</v>
      </c>
      <c r="I75">
        <v>94.6</v>
      </c>
      <c r="J75">
        <v>7.03</v>
      </c>
      <c r="K75">
        <v>0</v>
      </c>
      <c r="L75">
        <v>4.4000000000000004</v>
      </c>
      <c r="M75">
        <v>630829.93999999994</v>
      </c>
      <c r="N75">
        <v>117090.02</v>
      </c>
    </row>
    <row r="76" spans="1:14">
      <c r="A76" t="s">
        <v>40</v>
      </c>
      <c r="B76" s="3">
        <v>45717</v>
      </c>
      <c r="C76" t="s">
        <v>15</v>
      </c>
      <c r="D76" t="s">
        <v>16</v>
      </c>
      <c r="E76">
        <v>70144.78</v>
      </c>
      <c r="F76">
        <v>6806</v>
      </c>
      <c r="G76">
        <v>0.17799999999999999</v>
      </c>
      <c r="H76">
        <v>20</v>
      </c>
      <c r="I76">
        <v>93.1</v>
      </c>
      <c r="J76">
        <v>0.28000000000000003</v>
      </c>
      <c r="K76">
        <v>1</v>
      </c>
      <c r="L76">
        <v>4.3</v>
      </c>
      <c r="M76">
        <v>788087.68</v>
      </c>
      <c r="N76">
        <v>116803.42</v>
      </c>
    </row>
    <row r="77" spans="1:14">
      <c r="A77" t="s">
        <v>40</v>
      </c>
      <c r="B77" s="3">
        <v>45748</v>
      </c>
      <c r="C77" t="s">
        <v>15</v>
      </c>
      <c r="D77" t="s">
        <v>16</v>
      </c>
      <c r="E77">
        <v>58749.63</v>
      </c>
      <c r="F77">
        <v>8252</v>
      </c>
      <c r="G77">
        <v>0.20300000000000001</v>
      </c>
      <c r="H77">
        <v>20</v>
      </c>
      <c r="I77">
        <v>85.2</v>
      </c>
      <c r="J77">
        <v>3.61</v>
      </c>
      <c r="K77">
        <v>0</v>
      </c>
      <c r="L77">
        <v>4.5</v>
      </c>
      <c r="M77">
        <v>680840.36</v>
      </c>
      <c r="N77">
        <v>68007.679999999993</v>
      </c>
    </row>
    <row r="78" spans="1:14">
      <c r="A78" t="s">
        <v>41</v>
      </c>
      <c r="B78" s="3">
        <v>45658</v>
      </c>
      <c r="C78" t="s">
        <v>24</v>
      </c>
      <c r="D78" t="s">
        <v>18</v>
      </c>
      <c r="E78">
        <v>56973.18</v>
      </c>
      <c r="F78">
        <v>6662</v>
      </c>
      <c r="G78">
        <v>0.1</v>
      </c>
      <c r="H78">
        <v>15</v>
      </c>
      <c r="I78">
        <v>77.7</v>
      </c>
      <c r="J78">
        <v>7.52</v>
      </c>
      <c r="K78">
        <v>1</v>
      </c>
      <c r="L78">
        <v>3.2</v>
      </c>
      <c r="M78">
        <v>643657.47</v>
      </c>
      <c r="N78">
        <v>87022.45</v>
      </c>
    </row>
    <row r="79" spans="1:14">
      <c r="A79" t="s">
        <v>41</v>
      </c>
      <c r="B79" s="3">
        <v>45689</v>
      </c>
      <c r="C79" t="s">
        <v>24</v>
      </c>
      <c r="D79" t="s">
        <v>18</v>
      </c>
      <c r="E79">
        <v>54872.82</v>
      </c>
      <c r="F79">
        <v>5962</v>
      </c>
      <c r="G79">
        <v>6.4000000000000001E-2</v>
      </c>
      <c r="H79">
        <v>12</v>
      </c>
      <c r="I79">
        <v>85.4</v>
      </c>
      <c r="J79">
        <v>2.58</v>
      </c>
      <c r="K79">
        <v>0</v>
      </c>
      <c r="L79">
        <v>2.9</v>
      </c>
      <c r="M79">
        <v>691112.6</v>
      </c>
      <c r="N79">
        <v>109212.83</v>
      </c>
    </row>
    <row r="80" spans="1:14">
      <c r="A80" t="s">
        <v>41</v>
      </c>
      <c r="B80" s="3">
        <v>45717</v>
      </c>
      <c r="C80" t="s">
        <v>24</v>
      </c>
      <c r="D80" t="s">
        <v>18</v>
      </c>
      <c r="E80">
        <v>80562.81</v>
      </c>
      <c r="F80">
        <v>7470</v>
      </c>
      <c r="G80">
        <v>0.17199999999999999</v>
      </c>
      <c r="H80">
        <v>16</v>
      </c>
      <c r="I80">
        <v>83.5</v>
      </c>
      <c r="J80">
        <v>2.29</v>
      </c>
      <c r="K80">
        <v>0</v>
      </c>
      <c r="L80">
        <v>3.3</v>
      </c>
      <c r="M80">
        <v>776922.17</v>
      </c>
      <c r="N80">
        <v>150701.93</v>
      </c>
    </row>
    <row r="81" spans="1:14">
      <c r="A81" t="s">
        <v>41</v>
      </c>
      <c r="B81" s="3">
        <v>45748</v>
      </c>
      <c r="C81" t="s">
        <v>24</v>
      </c>
      <c r="D81" t="s">
        <v>18</v>
      </c>
      <c r="E81">
        <v>77999.899999999994</v>
      </c>
      <c r="F81">
        <v>5974</v>
      </c>
      <c r="G81">
        <v>0.252</v>
      </c>
      <c r="H81">
        <v>14</v>
      </c>
      <c r="I81">
        <v>81.3</v>
      </c>
      <c r="J81">
        <v>2.39</v>
      </c>
      <c r="K81">
        <v>0</v>
      </c>
      <c r="L81">
        <v>3.2</v>
      </c>
      <c r="M81">
        <v>636561.34</v>
      </c>
      <c r="N81">
        <v>93861.06</v>
      </c>
    </row>
    <row r="82" spans="1:14">
      <c r="A82" t="s">
        <v>42</v>
      </c>
      <c r="B82" s="3">
        <v>45658</v>
      </c>
      <c r="C82" t="s">
        <v>27</v>
      </c>
      <c r="D82" t="s">
        <v>28</v>
      </c>
      <c r="E82">
        <v>60881.01</v>
      </c>
      <c r="F82">
        <v>5410</v>
      </c>
      <c r="G82">
        <v>0.17899999999999999</v>
      </c>
      <c r="H82">
        <v>15</v>
      </c>
      <c r="I82">
        <v>83.9</v>
      </c>
      <c r="J82">
        <v>5.24</v>
      </c>
      <c r="K82">
        <v>0</v>
      </c>
      <c r="L82">
        <v>4.5999999999999996</v>
      </c>
      <c r="M82">
        <v>621369.57999999996</v>
      </c>
      <c r="N82">
        <v>85493.64</v>
      </c>
    </row>
    <row r="83" spans="1:14">
      <c r="A83" t="s">
        <v>42</v>
      </c>
      <c r="B83" s="3">
        <v>45689</v>
      </c>
      <c r="C83" t="s">
        <v>27</v>
      </c>
      <c r="D83" t="s">
        <v>28</v>
      </c>
      <c r="E83">
        <v>60628.38</v>
      </c>
      <c r="F83">
        <v>4451</v>
      </c>
      <c r="G83">
        <v>9.5000000000000001E-2</v>
      </c>
      <c r="H83">
        <v>10</v>
      </c>
      <c r="I83">
        <v>89.6</v>
      </c>
      <c r="J83">
        <v>3.17</v>
      </c>
      <c r="K83">
        <v>0</v>
      </c>
      <c r="L83">
        <v>4.5999999999999996</v>
      </c>
      <c r="M83">
        <v>682208.01</v>
      </c>
      <c r="N83">
        <v>110318.84</v>
      </c>
    </row>
    <row r="84" spans="1:14">
      <c r="A84" t="s">
        <v>42</v>
      </c>
      <c r="B84" s="3">
        <v>45717</v>
      </c>
      <c r="C84" t="s">
        <v>27</v>
      </c>
      <c r="D84" t="s">
        <v>28</v>
      </c>
      <c r="E84">
        <v>72731.14</v>
      </c>
      <c r="F84">
        <v>4644</v>
      </c>
      <c r="G84">
        <v>8.4000000000000005E-2</v>
      </c>
      <c r="H84">
        <v>15</v>
      </c>
      <c r="I84">
        <v>87.1</v>
      </c>
      <c r="J84">
        <v>2.66</v>
      </c>
      <c r="K84">
        <v>0</v>
      </c>
      <c r="L84">
        <v>4.5999999999999996</v>
      </c>
      <c r="M84">
        <v>727241.86</v>
      </c>
      <c r="N84">
        <v>155810.29999999999</v>
      </c>
    </row>
    <row r="85" spans="1:14">
      <c r="A85" t="s">
        <v>42</v>
      </c>
      <c r="B85" s="3">
        <v>45748</v>
      </c>
      <c r="C85" t="s">
        <v>27</v>
      </c>
      <c r="D85" t="s">
        <v>28</v>
      </c>
      <c r="E85">
        <v>36475.71</v>
      </c>
      <c r="F85">
        <v>3559</v>
      </c>
      <c r="G85">
        <v>0.03</v>
      </c>
      <c r="H85">
        <v>8</v>
      </c>
      <c r="I85">
        <v>83.6</v>
      </c>
      <c r="J85">
        <v>1.41</v>
      </c>
      <c r="K85">
        <v>0</v>
      </c>
      <c r="L85">
        <v>4.2</v>
      </c>
      <c r="M85">
        <v>569100.78</v>
      </c>
      <c r="N85">
        <v>104808.78</v>
      </c>
    </row>
    <row r="86" spans="1:14">
      <c r="A86" t="s">
        <v>43</v>
      </c>
      <c r="B86" s="3">
        <v>45658</v>
      </c>
      <c r="C86" t="s">
        <v>27</v>
      </c>
      <c r="D86" t="s">
        <v>18</v>
      </c>
      <c r="E86">
        <v>55388.11</v>
      </c>
      <c r="F86">
        <v>3091</v>
      </c>
      <c r="G86">
        <v>0.108</v>
      </c>
      <c r="H86">
        <v>7</v>
      </c>
      <c r="I86">
        <v>85.4</v>
      </c>
      <c r="J86">
        <v>7.34</v>
      </c>
      <c r="K86">
        <v>0</v>
      </c>
      <c r="L86">
        <v>4.9000000000000004</v>
      </c>
      <c r="M86">
        <v>574436.29</v>
      </c>
      <c r="N86">
        <v>80271.990000000005</v>
      </c>
    </row>
    <row r="87" spans="1:14">
      <c r="A87" t="s">
        <v>43</v>
      </c>
      <c r="B87" s="3">
        <v>45689</v>
      </c>
      <c r="C87" t="s">
        <v>27</v>
      </c>
      <c r="D87" t="s">
        <v>18</v>
      </c>
      <c r="E87">
        <v>88443.77</v>
      </c>
      <c r="F87">
        <v>4004</v>
      </c>
      <c r="G87">
        <v>0.20599999999999999</v>
      </c>
      <c r="H87">
        <v>11</v>
      </c>
      <c r="I87">
        <v>91.9</v>
      </c>
      <c r="J87">
        <v>5.95</v>
      </c>
      <c r="K87">
        <v>0</v>
      </c>
      <c r="M87">
        <v>611766.72</v>
      </c>
      <c r="N87">
        <v>88275.61</v>
      </c>
    </row>
    <row r="88" spans="1:14">
      <c r="A88" t="s">
        <v>43</v>
      </c>
      <c r="B88" s="3">
        <v>45717</v>
      </c>
      <c r="C88" t="s">
        <v>27</v>
      </c>
      <c r="D88" t="s">
        <v>18</v>
      </c>
      <c r="E88">
        <v>78231.91</v>
      </c>
      <c r="F88">
        <v>3788</v>
      </c>
      <c r="G88">
        <v>5.8999999999999997E-2</v>
      </c>
      <c r="H88">
        <v>11</v>
      </c>
      <c r="I88">
        <v>88.5</v>
      </c>
      <c r="J88">
        <v>15.51</v>
      </c>
      <c r="K88">
        <v>0</v>
      </c>
      <c r="L88">
        <v>4.3</v>
      </c>
      <c r="M88">
        <v>614596.31999999995</v>
      </c>
      <c r="N88">
        <v>131199.41</v>
      </c>
    </row>
    <row r="89" spans="1:14">
      <c r="A89" t="s">
        <v>43</v>
      </c>
      <c r="B89" s="3">
        <v>45748</v>
      </c>
      <c r="C89" t="s">
        <v>27</v>
      </c>
      <c r="D89" t="s">
        <v>18</v>
      </c>
      <c r="E89">
        <v>18996.32</v>
      </c>
      <c r="F89">
        <v>1260</v>
      </c>
      <c r="G89">
        <v>0.14499999999999999</v>
      </c>
      <c r="H89">
        <v>9</v>
      </c>
      <c r="I89">
        <v>86.4</v>
      </c>
      <c r="J89">
        <v>4.3099999999999996</v>
      </c>
      <c r="K89">
        <v>0</v>
      </c>
      <c r="L89">
        <v>4.5999999999999996</v>
      </c>
      <c r="M89">
        <v>450711.92</v>
      </c>
      <c r="N89">
        <v>90043.76</v>
      </c>
    </row>
    <row r="90" spans="1:14">
      <c r="A90" t="s">
        <v>44</v>
      </c>
      <c r="B90" s="3">
        <v>45658</v>
      </c>
      <c r="C90" t="s">
        <v>24</v>
      </c>
      <c r="D90" t="s">
        <v>28</v>
      </c>
      <c r="E90">
        <v>50517.94</v>
      </c>
      <c r="F90">
        <v>7024</v>
      </c>
      <c r="G90">
        <v>2.9000000000000001E-2</v>
      </c>
      <c r="H90">
        <v>18</v>
      </c>
      <c r="I90">
        <v>79.2</v>
      </c>
      <c r="J90">
        <v>6.61</v>
      </c>
      <c r="K90">
        <v>1</v>
      </c>
      <c r="L90">
        <v>4.0999999999999996</v>
      </c>
      <c r="M90">
        <v>711213.46</v>
      </c>
      <c r="N90">
        <v>105863.26</v>
      </c>
    </row>
    <row r="91" spans="1:14">
      <c r="A91" t="s">
        <v>44</v>
      </c>
      <c r="B91" s="3">
        <v>45689</v>
      </c>
      <c r="C91" t="s">
        <v>24</v>
      </c>
      <c r="D91" t="s">
        <v>28</v>
      </c>
      <c r="E91">
        <v>141540.29</v>
      </c>
      <c r="F91">
        <v>5400</v>
      </c>
      <c r="G91">
        <v>1.2999999999999999E-2</v>
      </c>
      <c r="H91">
        <v>12</v>
      </c>
      <c r="I91">
        <v>87</v>
      </c>
      <c r="J91">
        <v>4.26</v>
      </c>
      <c r="K91">
        <v>0</v>
      </c>
      <c r="L91">
        <v>4.5</v>
      </c>
      <c r="M91">
        <v>627171.9</v>
      </c>
      <c r="N91">
        <v>105772.75</v>
      </c>
    </row>
    <row r="92" spans="1:14">
      <c r="A92" t="s">
        <v>44</v>
      </c>
      <c r="B92" s="3">
        <v>45717</v>
      </c>
      <c r="C92" t="s">
        <v>24</v>
      </c>
      <c r="D92" t="s">
        <v>28</v>
      </c>
      <c r="E92">
        <v>82116.19</v>
      </c>
      <c r="F92">
        <v>5988</v>
      </c>
      <c r="G92">
        <v>0.04</v>
      </c>
      <c r="H92">
        <v>17</v>
      </c>
      <c r="I92">
        <v>91.8</v>
      </c>
      <c r="J92">
        <v>5.75</v>
      </c>
      <c r="K92">
        <v>0</v>
      </c>
      <c r="L92">
        <v>4.7</v>
      </c>
      <c r="M92">
        <v>739852.58</v>
      </c>
      <c r="N92">
        <v>129386.43</v>
      </c>
    </row>
    <row r="93" spans="1:14">
      <c r="A93" t="s">
        <v>44</v>
      </c>
      <c r="B93" s="3">
        <v>45748</v>
      </c>
      <c r="C93" t="s">
        <v>24</v>
      </c>
      <c r="D93" t="s">
        <v>28</v>
      </c>
      <c r="E93">
        <v>31207.51</v>
      </c>
      <c r="F93">
        <v>3701</v>
      </c>
      <c r="G93">
        <v>4.2999999999999997E-2</v>
      </c>
      <c r="H93">
        <v>11</v>
      </c>
      <c r="I93">
        <v>84.7</v>
      </c>
      <c r="J93">
        <v>0.33</v>
      </c>
      <c r="K93">
        <v>0</v>
      </c>
      <c r="L93">
        <v>4.3</v>
      </c>
      <c r="M93">
        <v>586307.22</v>
      </c>
      <c r="N93">
        <v>73927.850000000006</v>
      </c>
    </row>
    <row r="94" spans="1:14">
      <c r="A94" t="s">
        <v>45</v>
      </c>
      <c r="B94" s="3">
        <v>45658</v>
      </c>
      <c r="C94" t="s">
        <v>27</v>
      </c>
      <c r="D94" t="s">
        <v>16</v>
      </c>
      <c r="E94">
        <v>38966.589999999997</v>
      </c>
      <c r="F94">
        <v>4509</v>
      </c>
      <c r="G94">
        <v>0.19400000000000001</v>
      </c>
      <c r="H94">
        <v>14</v>
      </c>
      <c r="I94">
        <v>91.1</v>
      </c>
      <c r="J94">
        <v>2.92</v>
      </c>
      <c r="K94">
        <v>0</v>
      </c>
      <c r="L94">
        <v>4.5999999999999996</v>
      </c>
      <c r="M94">
        <v>585937.48</v>
      </c>
      <c r="N94">
        <v>82624.2</v>
      </c>
    </row>
    <row r="95" spans="1:14">
      <c r="A95" t="s">
        <v>45</v>
      </c>
      <c r="B95" s="3">
        <v>45689</v>
      </c>
      <c r="C95" t="s">
        <v>27</v>
      </c>
      <c r="D95" t="s">
        <v>16</v>
      </c>
      <c r="E95">
        <v>67439.3</v>
      </c>
      <c r="F95">
        <v>6477</v>
      </c>
      <c r="G95">
        <v>0</v>
      </c>
      <c r="H95">
        <v>16</v>
      </c>
      <c r="I95">
        <v>90.9</v>
      </c>
      <c r="J95">
        <v>1.64</v>
      </c>
      <c r="K95">
        <v>0</v>
      </c>
      <c r="L95">
        <v>4.5</v>
      </c>
      <c r="M95">
        <v>753473.55</v>
      </c>
      <c r="N95">
        <v>151527.22</v>
      </c>
    </row>
    <row r="96" spans="1:14">
      <c r="A96" t="s">
        <v>45</v>
      </c>
      <c r="B96" s="3">
        <v>45717</v>
      </c>
      <c r="C96" t="s">
        <v>27</v>
      </c>
      <c r="D96" t="s">
        <v>16</v>
      </c>
      <c r="E96">
        <v>86421.88</v>
      </c>
      <c r="F96">
        <v>7970</v>
      </c>
      <c r="G96">
        <v>7.2999999999999995E-2</v>
      </c>
      <c r="H96">
        <v>17</v>
      </c>
      <c r="I96">
        <v>91.3</v>
      </c>
      <c r="J96">
        <v>0.8</v>
      </c>
      <c r="K96">
        <v>0</v>
      </c>
      <c r="L96">
        <v>5</v>
      </c>
      <c r="M96">
        <v>838250.32</v>
      </c>
      <c r="N96">
        <v>122939.34</v>
      </c>
    </row>
    <row r="97" spans="1:14">
      <c r="A97" t="s">
        <v>45</v>
      </c>
      <c r="B97" s="3">
        <v>45748</v>
      </c>
      <c r="C97" t="s">
        <v>27</v>
      </c>
      <c r="D97" t="s">
        <v>16</v>
      </c>
      <c r="E97">
        <v>9534.65</v>
      </c>
      <c r="F97">
        <v>6057</v>
      </c>
      <c r="G97">
        <v>7.3999999999999996E-2</v>
      </c>
      <c r="H97">
        <v>15</v>
      </c>
      <c r="I97">
        <v>94.1</v>
      </c>
      <c r="J97">
        <v>5.79</v>
      </c>
      <c r="K97">
        <v>0</v>
      </c>
      <c r="L97">
        <v>4.5</v>
      </c>
      <c r="M97">
        <v>607898.12</v>
      </c>
      <c r="N97">
        <v>135404.85</v>
      </c>
    </row>
    <row r="98" spans="1:14">
      <c r="A98" t="s">
        <v>46</v>
      </c>
      <c r="B98" s="3">
        <v>45658</v>
      </c>
      <c r="C98" t="s">
        <v>27</v>
      </c>
      <c r="D98" t="s">
        <v>28</v>
      </c>
      <c r="E98">
        <v>61132.07</v>
      </c>
      <c r="F98">
        <v>6394</v>
      </c>
      <c r="G98">
        <v>0.16300000000000001</v>
      </c>
      <c r="H98">
        <v>19</v>
      </c>
      <c r="I98">
        <v>91</v>
      </c>
      <c r="J98">
        <v>19.600000000000001</v>
      </c>
      <c r="K98">
        <v>0</v>
      </c>
      <c r="L98">
        <v>4.4000000000000004</v>
      </c>
      <c r="M98">
        <v>691113.62</v>
      </c>
      <c r="N98">
        <v>135145.44</v>
      </c>
    </row>
    <row r="99" spans="1:14">
      <c r="A99" t="s">
        <v>46</v>
      </c>
      <c r="B99" s="3">
        <v>45689</v>
      </c>
      <c r="C99" t="s">
        <v>27</v>
      </c>
      <c r="D99" t="s">
        <v>28</v>
      </c>
      <c r="E99">
        <v>78839.39</v>
      </c>
      <c r="F99">
        <v>5150</v>
      </c>
      <c r="G99">
        <v>0.17100000000000001</v>
      </c>
      <c r="H99">
        <v>13</v>
      </c>
      <c r="I99">
        <v>85.8</v>
      </c>
      <c r="J99">
        <v>7.57</v>
      </c>
      <c r="K99">
        <v>0</v>
      </c>
      <c r="L99">
        <v>4.3</v>
      </c>
      <c r="M99">
        <v>735509.4</v>
      </c>
      <c r="N99">
        <v>83895.96</v>
      </c>
    </row>
    <row r="100" spans="1:14">
      <c r="A100" t="s">
        <v>46</v>
      </c>
      <c r="B100" s="3">
        <v>45717</v>
      </c>
      <c r="C100" t="s">
        <v>27</v>
      </c>
      <c r="D100" t="s">
        <v>28</v>
      </c>
      <c r="E100">
        <v>38752.800000000003</v>
      </c>
      <c r="F100">
        <v>4712</v>
      </c>
      <c r="G100">
        <v>7.4999999999999997E-2</v>
      </c>
      <c r="H100">
        <v>15</v>
      </c>
      <c r="I100">
        <v>89.7</v>
      </c>
      <c r="K100">
        <v>0</v>
      </c>
      <c r="L100">
        <v>4.3</v>
      </c>
      <c r="M100">
        <v>605775.32999999996</v>
      </c>
      <c r="N100">
        <v>107194.6</v>
      </c>
    </row>
    <row r="101" spans="1:14">
      <c r="A101" t="s">
        <v>46</v>
      </c>
      <c r="B101" s="3">
        <v>45748</v>
      </c>
      <c r="C101" t="s">
        <v>27</v>
      </c>
      <c r="D101" t="s">
        <v>28</v>
      </c>
      <c r="E101">
        <v>55101.1</v>
      </c>
      <c r="F101">
        <v>5281</v>
      </c>
      <c r="G101">
        <v>0.189</v>
      </c>
      <c r="H101">
        <v>11</v>
      </c>
      <c r="I101">
        <v>91</v>
      </c>
      <c r="J101">
        <v>2.7</v>
      </c>
      <c r="K101">
        <v>0</v>
      </c>
      <c r="L101">
        <v>4.4000000000000004</v>
      </c>
      <c r="M101">
        <v>675177.68</v>
      </c>
      <c r="N101">
        <v>105628.68</v>
      </c>
    </row>
    <row r="102" spans="1:14">
      <c r="A102" t="s">
        <v>47</v>
      </c>
      <c r="B102" s="3">
        <v>45658</v>
      </c>
      <c r="C102" t="s">
        <v>15</v>
      </c>
      <c r="D102" t="s">
        <v>28</v>
      </c>
      <c r="E102">
        <v>53084.76</v>
      </c>
      <c r="F102">
        <v>3642</v>
      </c>
      <c r="G102">
        <v>0.15</v>
      </c>
      <c r="H102">
        <v>12</v>
      </c>
      <c r="I102">
        <v>91.4</v>
      </c>
      <c r="J102">
        <v>0.2</v>
      </c>
      <c r="K102">
        <v>0</v>
      </c>
      <c r="L102">
        <v>4.4000000000000004</v>
      </c>
      <c r="M102">
        <v>635181.35</v>
      </c>
      <c r="N102">
        <v>83341.25</v>
      </c>
    </row>
    <row r="103" spans="1:14">
      <c r="A103" t="s">
        <v>47</v>
      </c>
      <c r="B103" s="3">
        <v>45689</v>
      </c>
      <c r="C103" t="s">
        <v>15</v>
      </c>
      <c r="D103" t="s">
        <v>28</v>
      </c>
      <c r="E103">
        <v>63101.59</v>
      </c>
      <c r="F103">
        <v>4373</v>
      </c>
      <c r="G103">
        <v>0.17299999999999999</v>
      </c>
      <c r="H103">
        <v>14</v>
      </c>
      <c r="I103">
        <v>90.4</v>
      </c>
      <c r="J103">
        <v>7.87</v>
      </c>
      <c r="K103">
        <v>0</v>
      </c>
      <c r="L103">
        <v>4.7</v>
      </c>
      <c r="M103">
        <v>586626.93999999994</v>
      </c>
      <c r="N103">
        <v>86498.55</v>
      </c>
    </row>
    <row r="104" spans="1:14">
      <c r="A104" t="s">
        <v>47</v>
      </c>
      <c r="B104" s="3">
        <v>45717</v>
      </c>
      <c r="C104" t="s">
        <v>15</v>
      </c>
      <c r="D104" t="s">
        <v>28</v>
      </c>
      <c r="E104">
        <v>90084.4</v>
      </c>
      <c r="F104">
        <v>6832</v>
      </c>
      <c r="G104">
        <v>0.185</v>
      </c>
      <c r="H104">
        <v>14</v>
      </c>
      <c r="I104">
        <v>80.5</v>
      </c>
      <c r="J104">
        <v>0.77</v>
      </c>
      <c r="K104">
        <v>1</v>
      </c>
      <c r="L104">
        <v>4.4000000000000004</v>
      </c>
      <c r="M104">
        <v>740102.64</v>
      </c>
      <c r="N104">
        <v>114299.07</v>
      </c>
    </row>
    <row r="105" spans="1:14">
      <c r="A105" t="s">
        <v>47</v>
      </c>
      <c r="B105" s="3">
        <v>45748</v>
      </c>
      <c r="C105" t="s">
        <v>15</v>
      </c>
      <c r="D105" t="s">
        <v>28</v>
      </c>
      <c r="E105">
        <v>32266.639999999999</v>
      </c>
      <c r="F105">
        <v>2414</v>
      </c>
      <c r="G105">
        <v>0.08</v>
      </c>
      <c r="H105">
        <v>7</v>
      </c>
      <c r="I105">
        <v>92.1</v>
      </c>
      <c r="J105">
        <v>1.48</v>
      </c>
      <c r="K105">
        <v>0</v>
      </c>
      <c r="L105">
        <v>5</v>
      </c>
      <c r="M105">
        <v>625514.04</v>
      </c>
      <c r="N105">
        <v>120685.08</v>
      </c>
    </row>
    <row r="106" spans="1:14">
      <c r="A106" t="s">
        <v>48</v>
      </c>
      <c r="B106" s="3">
        <v>45658</v>
      </c>
      <c r="C106" t="s">
        <v>27</v>
      </c>
      <c r="D106" t="s">
        <v>18</v>
      </c>
      <c r="E106">
        <v>57919.07</v>
      </c>
      <c r="F106">
        <v>7374</v>
      </c>
      <c r="G106">
        <v>0.10299999999999999</v>
      </c>
      <c r="H106">
        <v>21</v>
      </c>
      <c r="I106">
        <v>82.3</v>
      </c>
      <c r="J106">
        <v>2.87</v>
      </c>
      <c r="K106">
        <v>0</v>
      </c>
      <c r="L106">
        <v>2.9</v>
      </c>
      <c r="M106">
        <v>727227.2</v>
      </c>
      <c r="N106">
        <v>121292.01</v>
      </c>
    </row>
    <row r="107" spans="1:14">
      <c r="A107" t="s">
        <v>48</v>
      </c>
      <c r="B107" s="3">
        <v>45689</v>
      </c>
      <c r="C107" t="s">
        <v>27</v>
      </c>
      <c r="D107" t="s">
        <v>18</v>
      </c>
      <c r="E107">
        <v>74679.350000000006</v>
      </c>
      <c r="F107">
        <v>8739</v>
      </c>
      <c r="G107">
        <v>5.6000000000000001E-2</v>
      </c>
      <c r="H107">
        <v>21</v>
      </c>
      <c r="I107">
        <v>91.8</v>
      </c>
      <c r="J107">
        <v>2.83</v>
      </c>
      <c r="K107">
        <v>0</v>
      </c>
      <c r="L107">
        <v>3</v>
      </c>
      <c r="M107">
        <v>783797.89</v>
      </c>
      <c r="N107">
        <v>157620.70000000001</v>
      </c>
    </row>
    <row r="108" spans="1:14">
      <c r="A108" t="s">
        <v>48</v>
      </c>
      <c r="B108" s="3">
        <v>45717</v>
      </c>
      <c r="C108" t="s">
        <v>27</v>
      </c>
      <c r="D108" t="s">
        <v>18</v>
      </c>
      <c r="E108">
        <v>64294.23</v>
      </c>
      <c r="F108">
        <v>6992</v>
      </c>
      <c r="G108">
        <v>0.13300000000000001</v>
      </c>
      <c r="H108">
        <v>14</v>
      </c>
      <c r="I108">
        <v>94.1</v>
      </c>
      <c r="J108">
        <v>0.25</v>
      </c>
      <c r="K108">
        <v>0</v>
      </c>
      <c r="L108">
        <v>3</v>
      </c>
      <c r="M108">
        <v>795153.84</v>
      </c>
      <c r="N108">
        <v>143194.21</v>
      </c>
    </row>
    <row r="109" spans="1:14">
      <c r="A109" t="s">
        <v>48</v>
      </c>
      <c r="B109" s="3">
        <v>45748</v>
      </c>
      <c r="C109" t="s">
        <v>27</v>
      </c>
      <c r="D109" t="s">
        <v>18</v>
      </c>
      <c r="E109">
        <v>31042.03</v>
      </c>
      <c r="F109">
        <v>7107</v>
      </c>
      <c r="G109">
        <v>5.0999999999999997E-2</v>
      </c>
      <c r="H109">
        <v>15</v>
      </c>
      <c r="I109">
        <v>87</v>
      </c>
      <c r="J109">
        <v>13.33</v>
      </c>
      <c r="K109">
        <v>0</v>
      </c>
      <c r="L109">
        <v>3.2</v>
      </c>
      <c r="M109">
        <v>665594.93999999994</v>
      </c>
      <c r="N109">
        <v>127597.34</v>
      </c>
    </row>
    <row r="110" spans="1:14">
      <c r="A110" t="s">
        <v>49</v>
      </c>
      <c r="B110" s="3">
        <v>45658</v>
      </c>
      <c r="C110" t="s">
        <v>15</v>
      </c>
      <c r="D110" t="s">
        <v>28</v>
      </c>
      <c r="E110">
        <v>75265.02</v>
      </c>
      <c r="F110">
        <v>6975</v>
      </c>
      <c r="G110">
        <v>0.157</v>
      </c>
      <c r="H110">
        <v>20</v>
      </c>
      <c r="I110">
        <v>73.8</v>
      </c>
      <c r="J110">
        <v>6.35</v>
      </c>
      <c r="K110">
        <v>1</v>
      </c>
      <c r="L110">
        <v>3.8</v>
      </c>
      <c r="M110">
        <v>709478.39</v>
      </c>
      <c r="N110">
        <v>71294.27</v>
      </c>
    </row>
    <row r="111" spans="1:14">
      <c r="A111" t="s">
        <v>49</v>
      </c>
      <c r="B111" s="3">
        <v>45689</v>
      </c>
      <c r="C111" t="s">
        <v>15</v>
      </c>
      <c r="D111" t="s">
        <v>28</v>
      </c>
      <c r="E111">
        <v>69411.7</v>
      </c>
      <c r="F111">
        <v>5493</v>
      </c>
      <c r="G111">
        <v>0.29199999999999998</v>
      </c>
      <c r="H111">
        <v>13</v>
      </c>
      <c r="I111">
        <v>86.5</v>
      </c>
      <c r="J111">
        <v>6.69</v>
      </c>
      <c r="K111">
        <v>0</v>
      </c>
      <c r="L111">
        <v>3.8</v>
      </c>
      <c r="M111">
        <v>664162.49</v>
      </c>
      <c r="N111">
        <v>98291.06</v>
      </c>
    </row>
    <row r="112" spans="1:14">
      <c r="A112" t="s">
        <v>49</v>
      </c>
      <c r="B112" s="3">
        <v>45717</v>
      </c>
      <c r="C112" t="s">
        <v>15</v>
      </c>
      <c r="D112" t="s">
        <v>28</v>
      </c>
      <c r="E112">
        <v>51056.15</v>
      </c>
      <c r="F112">
        <v>5686</v>
      </c>
      <c r="G112">
        <v>8.8999999999999996E-2</v>
      </c>
      <c r="H112">
        <v>13</v>
      </c>
      <c r="I112">
        <v>89.9</v>
      </c>
      <c r="J112">
        <v>1.28</v>
      </c>
      <c r="K112">
        <v>0</v>
      </c>
      <c r="L112">
        <v>4.2</v>
      </c>
      <c r="M112">
        <v>633494.21</v>
      </c>
      <c r="N112">
        <v>105739.47</v>
      </c>
    </row>
    <row r="113" spans="1:14">
      <c r="A113" t="s">
        <v>49</v>
      </c>
      <c r="B113" s="3">
        <v>45748</v>
      </c>
      <c r="C113" t="s">
        <v>15</v>
      </c>
      <c r="D113" t="s">
        <v>28</v>
      </c>
      <c r="E113">
        <v>52758.01</v>
      </c>
      <c r="F113">
        <v>4063</v>
      </c>
      <c r="G113">
        <v>5.7000000000000002E-2</v>
      </c>
      <c r="H113">
        <v>12</v>
      </c>
      <c r="I113">
        <v>91.7</v>
      </c>
      <c r="J113">
        <v>0.92</v>
      </c>
      <c r="K113">
        <v>0</v>
      </c>
      <c r="L113">
        <v>3.5</v>
      </c>
      <c r="M113">
        <v>713611.16</v>
      </c>
      <c r="N113">
        <v>129717.18</v>
      </c>
    </row>
    <row r="114" spans="1:14">
      <c r="A114" t="s">
        <v>50</v>
      </c>
      <c r="B114" s="3">
        <v>45658</v>
      </c>
      <c r="C114" t="s">
        <v>27</v>
      </c>
      <c r="D114" t="s">
        <v>28</v>
      </c>
      <c r="E114">
        <v>61426.04</v>
      </c>
      <c r="F114">
        <v>8966</v>
      </c>
      <c r="G114">
        <v>0.17299999999999999</v>
      </c>
      <c r="H114">
        <v>22</v>
      </c>
      <c r="I114">
        <v>76.400000000000006</v>
      </c>
      <c r="J114">
        <v>1.05</v>
      </c>
      <c r="K114">
        <v>0</v>
      </c>
      <c r="L114">
        <v>3.1</v>
      </c>
      <c r="M114">
        <v>778397.97</v>
      </c>
      <c r="N114">
        <v>120044.41</v>
      </c>
    </row>
    <row r="115" spans="1:14">
      <c r="A115" t="s">
        <v>50</v>
      </c>
      <c r="B115" s="3">
        <v>45689</v>
      </c>
      <c r="C115" t="s">
        <v>27</v>
      </c>
      <c r="D115" t="s">
        <v>28</v>
      </c>
      <c r="E115">
        <v>80176.34</v>
      </c>
      <c r="F115">
        <v>9489</v>
      </c>
      <c r="G115">
        <v>0.14199999999999999</v>
      </c>
      <c r="H115">
        <v>22</v>
      </c>
      <c r="I115">
        <v>94.3</v>
      </c>
      <c r="J115">
        <v>2.67</v>
      </c>
      <c r="K115">
        <v>0</v>
      </c>
      <c r="L115">
        <v>3.5</v>
      </c>
      <c r="M115">
        <v>873380.02</v>
      </c>
      <c r="N115">
        <v>149734.76</v>
      </c>
    </row>
    <row r="116" spans="1:14">
      <c r="A116" t="s">
        <v>50</v>
      </c>
      <c r="B116" s="3">
        <v>45717</v>
      </c>
      <c r="C116" t="s">
        <v>27</v>
      </c>
      <c r="D116" t="s">
        <v>28</v>
      </c>
      <c r="E116">
        <v>33605.18</v>
      </c>
      <c r="F116">
        <v>9225</v>
      </c>
      <c r="G116">
        <v>0.159</v>
      </c>
      <c r="H116">
        <v>23</v>
      </c>
      <c r="I116">
        <v>88.4</v>
      </c>
      <c r="J116">
        <v>5.91</v>
      </c>
      <c r="K116">
        <v>0</v>
      </c>
      <c r="L116">
        <v>2.8</v>
      </c>
      <c r="M116">
        <v>697287.9</v>
      </c>
      <c r="N116">
        <v>128208.33</v>
      </c>
    </row>
    <row r="117" spans="1:14">
      <c r="A117" t="s">
        <v>50</v>
      </c>
      <c r="B117" s="3">
        <v>45748</v>
      </c>
      <c r="C117" t="s">
        <v>27</v>
      </c>
      <c r="D117" t="s">
        <v>28</v>
      </c>
      <c r="E117">
        <v>25990.54</v>
      </c>
      <c r="F117">
        <v>9249</v>
      </c>
      <c r="G117">
        <v>0.13900000000000001</v>
      </c>
      <c r="H117">
        <v>23</v>
      </c>
      <c r="I117">
        <v>92.5</v>
      </c>
      <c r="J117">
        <v>6.37</v>
      </c>
      <c r="K117">
        <v>0</v>
      </c>
      <c r="L117">
        <v>3.3</v>
      </c>
      <c r="M117">
        <v>718074.79</v>
      </c>
      <c r="N117">
        <v>115819.87</v>
      </c>
    </row>
    <row r="118" spans="1:14">
      <c r="A118" t="s">
        <v>51</v>
      </c>
      <c r="B118" s="3">
        <v>45658</v>
      </c>
      <c r="C118" t="s">
        <v>27</v>
      </c>
      <c r="D118" t="s">
        <v>16</v>
      </c>
      <c r="E118">
        <v>43685.14</v>
      </c>
      <c r="F118">
        <v>7821</v>
      </c>
      <c r="G118">
        <v>0.19</v>
      </c>
      <c r="H118">
        <v>17</v>
      </c>
      <c r="I118">
        <v>91</v>
      </c>
      <c r="J118">
        <v>2.4900000000000002</v>
      </c>
      <c r="K118">
        <v>1</v>
      </c>
      <c r="L118">
        <v>4.7</v>
      </c>
      <c r="M118">
        <v>714942.43</v>
      </c>
      <c r="N118">
        <v>94697.71</v>
      </c>
    </row>
    <row r="119" spans="1:14">
      <c r="A119" t="s">
        <v>51</v>
      </c>
      <c r="B119" s="3">
        <v>45689</v>
      </c>
      <c r="C119" t="s">
        <v>27</v>
      </c>
      <c r="D119" t="s">
        <v>16</v>
      </c>
      <c r="E119">
        <v>57360.01</v>
      </c>
      <c r="F119">
        <v>8434</v>
      </c>
      <c r="G119">
        <v>0.151</v>
      </c>
      <c r="H119">
        <v>19</v>
      </c>
      <c r="I119">
        <v>84.1</v>
      </c>
      <c r="J119">
        <v>1.56</v>
      </c>
      <c r="K119">
        <v>0</v>
      </c>
      <c r="L119">
        <v>4.7</v>
      </c>
      <c r="M119">
        <v>820519.04</v>
      </c>
      <c r="N119">
        <v>99035.88</v>
      </c>
    </row>
    <row r="120" spans="1:14">
      <c r="A120" t="s">
        <v>51</v>
      </c>
      <c r="B120" s="3">
        <v>45717</v>
      </c>
      <c r="C120" t="s">
        <v>27</v>
      </c>
      <c r="D120" t="s">
        <v>16</v>
      </c>
      <c r="E120">
        <v>42415.47</v>
      </c>
      <c r="F120">
        <v>8512</v>
      </c>
      <c r="G120">
        <v>0.13300000000000001</v>
      </c>
      <c r="H120">
        <v>18</v>
      </c>
      <c r="I120">
        <v>96.8</v>
      </c>
      <c r="J120">
        <v>14.95</v>
      </c>
      <c r="K120">
        <v>0</v>
      </c>
      <c r="L120">
        <v>4.5999999999999996</v>
      </c>
      <c r="M120">
        <v>684217.32</v>
      </c>
      <c r="N120">
        <v>136217.19</v>
      </c>
    </row>
    <row r="121" spans="1:14">
      <c r="A121" t="s">
        <v>51</v>
      </c>
      <c r="B121" s="3">
        <v>45748</v>
      </c>
      <c r="C121" t="s">
        <v>27</v>
      </c>
      <c r="D121" t="s">
        <v>16</v>
      </c>
      <c r="E121">
        <v>54968.98</v>
      </c>
      <c r="F121">
        <v>7816</v>
      </c>
      <c r="G121">
        <v>0.23200000000000001</v>
      </c>
      <c r="H121">
        <v>19</v>
      </c>
      <c r="I121">
        <v>95.7</v>
      </c>
      <c r="J121">
        <v>7.85</v>
      </c>
      <c r="K121">
        <v>0</v>
      </c>
      <c r="L121">
        <v>4.7</v>
      </c>
      <c r="M121">
        <v>735480.19</v>
      </c>
      <c r="N121">
        <v>88342.11</v>
      </c>
    </row>
    <row r="122" spans="1:14">
      <c r="A122" t="s">
        <v>52</v>
      </c>
      <c r="B122" s="3">
        <v>45658</v>
      </c>
      <c r="C122" t="s">
        <v>20</v>
      </c>
      <c r="D122" t="s">
        <v>18</v>
      </c>
      <c r="E122">
        <v>43896.13</v>
      </c>
      <c r="F122">
        <v>3853</v>
      </c>
      <c r="G122">
        <v>8.7999999999999995E-2</v>
      </c>
      <c r="H122">
        <v>13</v>
      </c>
      <c r="I122">
        <v>83</v>
      </c>
      <c r="J122">
        <v>6.8</v>
      </c>
      <c r="K122">
        <v>0</v>
      </c>
      <c r="L122">
        <v>4.4000000000000004</v>
      </c>
      <c r="M122">
        <v>509484.81</v>
      </c>
      <c r="N122">
        <v>85742.36</v>
      </c>
    </row>
    <row r="123" spans="1:14">
      <c r="A123" t="s">
        <v>52</v>
      </c>
      <c r="B123" s="3">
        <v>45689</v>
      </c>
      <c r="C123" t="s">
        <v>20</v>
      </c>
      <c r="D123" t="s">
        <v>18</v>
      </c>
      <c r="E123">
        <v>83044.17</v>
      </c>
      <c r="F123">
        <v>3694</v>
      </c>
      <c r="G123">
        <v>0</v>
      </c>
      <c r="H123">
        <v>14</v>
      </c>
      <c r="I123">
        <v>89.4</v>
      </c>
      <c r="J123">
        <v>2.2000000000000002</v>
      </c>
      <c r="K123">
        <v>0</v>
      </c>
      <c r="L123">
        <v>3.7</v>
      </c>
      <c r="M123">
        <v>654317.09</v>
      </c>
      <c r="N123">
        <v>121446.89</v>
      </c>
    </row>
    <row r="124" spans="1:14">
      <c r="A124" t="s">
        <v>52</v>
      </c>
      <c r="B124" s="3">
        <v>45717</v>
      </c>
      <c r="C124" t="s">
        <v>20</v>
      </c>
      <c r="D124" t="s">
        <v>18</v>
      </c>
      <c r="E124">
        <v>48396.13</v>
      </c>
      <c r="F124">
        <v>4423</v>
      </c>
      <c r="G124">
        <v>6.9000000000000006E-2</v>
      </c>
      <c r="H124">
        <v>15</v>
      </c>
      <c r="I124">
        <v>85.7</v>
      </c>
      <c r="J124">
        <v>1.88</v>
      </c>
      <c r="K124">
        <v>0</v>
      </c>
      <c r="L124">
        <v>3.9</v>
      </c>
      <c r="M124">
        <v>557487.26</v>
      </c>
      <c r="N124">
        <v>76432.19</v>
      </c>
    </row>
    <row r="125" spans="1:14">
      <c r="A125" t="s">
        <v>52</v>
      </c>
      <c r="B125" s="3">
        <v>45748</v>
      </c>
      <c r="C125" t="s">
        <v>20</v>
      </c>
      <c r="D125" t="s">
        <v>18</v>
      </c>
      <c r="E125">
        <v>19063.48</v>
      </c>
      <c r="F125">
        <v>1906</v>
      </c>
      <c r="G125">
        <v>0.216</v>
      </c>
      <c r="H125">
        <v>10</v>
      </c>
      <c r="I125">
        <v>97.8</v>
      </c>
      <c r="J125">
        <v>15.79</v>
      </c>
      <c r="K125">
        <v>0</v>
      </c>
      <c r="L125">
        <v>4.4000000000000004</v>
      </c>
      <c r="M125">
        <v>441275.42</v>
      </c>
      <c r="N125">
        <v>58234.87</v>
      </c>
    </row>
    <row r="126" spans="1:14">
      <c r="A126" t="s">
        <v>53</v>
      </c>
      <c r="B126" s="3">
        <v>45658</v>
      </c>
      <c r="C126" t="s">
        <v>24</v>
      </c>
      <c r="D126" t="s">
        <v>18</v>
      </c>
      <c r="E126">
        <v>61541.21</v>
      </c>
      <c r="F126">
        <v>10396</v>
      </c>
      <c r="G126">
        <v>0.123</v>
      </c>
      <c r="H126">
        <v>25</v>
      </c>
      <c r="I126">
        <v>88.1</v>
      </c>
      <c r="J126">
        <v>2.34</v>
      </c>
      <c r="K126">
        <v>1</v>
      </c>
      <c r="L126">
        <v>4.8</v>
      </c>
      <c r="M126">
        <v>914544.17</v>
      </c>
      <c r="N126">
        <v>79831.73</v>
      </c>
    </row>
    <row r="127" spans="1:14">
      <c r="A127" t="s">
        <v>53</v>
      </c>
      <c r="B127" s="3">
        <v>45689</v>
      </c>
      <c r="C127" t="s">
        <v>24</v>
      </c>
      <c r="D127" t="s">
        <v>18</v>
      </c>
      <c r="E127">
        <v>44747</v>
      </c>
      <c r="F127">
        <v>11076</v>
      </c>
      <c r="G127">
        <v>0.17599999999999999</v>
      </c>
      <c r="H127">
        <v>27</v>
      </c>
      <c r="I127">
        <v>98.3</v>
      </c>
      <c r="J127">
        <v>0.54</v>
      </c>
      <c r="K127">
        <v>0</v>
      </c>
      <c r="L127">
        <v>4.4000000000000004</v>
      </c>
      <c r="M127">
        <v>842439.67</v>
      </c>
      <c r="N127">
        <v>169983.63</v>
      </c>
    </row>
    <row r="128" spans="1:14">
      <c r="A128" t="s">
        <v>53</v>
      </c>
      <c r="B128" s="3">
        <v>45717</v>
      </c>
      <c r="C128" t="s">
        <v>24</v>
      </c>
      <c r="D128" t="s">
        <v>18</v>
      </c>
      <c r="E128">
        <v>56517.9</v>
      </c>
      <c r="F128">
        <v>9574</v>
      </c>
      <c r="G128">
        <v>0.20399999999999999</v>
      </c>
      <c r="H128">
        <v>20</v>
      </c>
      <c r="I128">
        <v>88.2</v>
      </c>
      <c r="J128">
        <v>5.37</v>
      </c>
      <c r="K128">
        <v>1</v>
      </c>
      <c r="L128">
        <v>4.9000000000000004</v>
      </c>
      <c r="M128">
        <v>842157.92</v>
      </c>
      <c r="N128">
        <v>107348.22</v>
      </c>
    </row>
    <row r="129" spans="1:14">
      <c r="A129" t="s">
        <v>53</v>
      </c>
      <c r="B129" s="3">
        <v>45748</v>
      </c>
      <c r="C129" t="s">
        <v>24</v>
      </c>
      <c r="D129" t="s">
        <v>18</v>
      </c>
      <c r="E129">
        <v>37828.5</v>
      </c>
      <c r="F129">
        <v>8221</v>
      </c>
      <c r="G129">
        <v>9.6000000000000002E-2</v>
      </c>
      <c r="H129">
        <v>19</v>
      </c>
      <c r="I129">
        <v>81.5</v>
      </c>
      <c r="J129">
        <v>3.19</v>
      </c>
      <c r="K129">
        <v>0</v>
      </c>
      <c r="L129">
        <v>4.8</v>
      </c>
      <c r="M129">
        <v>697155.3</v>
      </c>
      <c r="N129">
        <v>136408.54</v>
      </c>
    </row>
    <row r="130" spans="1:14">
      <c r="A130" t="s">
        <v>54</v>
      </c>
      <c r="B130" s="3">
        <v>45658</v>
      </c>
      <c r="C130" t="s">
        <v>15</v>
      </c>
      <c r="D130" t="s">
        <v>18</v>
      </c>
      <c r="E130">
        <v>66250.53</v>
      </c>
      <c r="F130">
        <v>10618</v>
      </c>
      <c r="G130">
        <v>0.14199999999999999</v>
      </c>
      <c r="H130">
        <v>27</v>
      </c>
      <c r="I130">
        <v>88.3</v>
      </c>
      <c r="J130">
        <v>1.1000000000000001</v>
      </c>
      <c r="K130">
        <v>1</v>
      </c>
      <c r="L130">
        <v>4.4000000000000004</v>
      </c>
      <c r="M130">
        <v>849018.3</v>
      </c>
      <c r="N130">
        <v>149035.13</v>
      </c>
    </row>
    <row r="131" spans="1:14">
      <c r="A131" t="s">
        <v>54</v>
      </c>
      <c r="B131" s="3">
        <v>45689</v>
      </c>
      <c r="C131" t="s">
        <v>15</v>
      </c>
      <c r="D131" t="s">
        <v>18</v>
      </c>
      <c r="E131">
        <v>68410.929999999993</v>
      </c>
      <c r="F131">
        <v>10596</v>
      </c>
      <c r="G131">
        <v>0.20699999999999999</v>
      </c>
      <c r="H131">
        <v>25</v>
      </c>
      <c r="I131">
        <v>81.2</v>
      </c>
      <c r="J131">
        <v>0.21</v>
      </c>
      <c r="K131">
        <v>0</v>
      </c>
      <c r="L131">
        <v>4</v>
      </c>
      <c r="M131">
        <v>801830.35</v>
      </c>
      <c r="N131">
        <v>114875.32</v>
      </c>
    </row>
    <row r="132" spans="1:14">
      <c r="A132" t="s">
        <v>54</v>
      </c>
      <c r="B132" s="3">
        <v>45717</v>
      </c>
      <c r="C132" t="s">
        <v>15</v>
      </c>
      <c r="D132" t="s">
        <v>18</v>
      </c>
      <c r="E132">
        <v>50735.63</v>
      </c>
      <c r="F132">
        <v>9619</v>
      </c>
      <c r="G132">
        <v>0.14399999999999999</v>
      </c>
      <c r="H132">
        <v>19</v>
      </c>
      <c r="I132">
        <v>93.8</v>
      </c>
      <c r="J132">
        <v>5.12</v>
      </c>
      <c r="K132">
        <v>1</v>
      </c>
      <c r="L132">
        <v>4.5</v>
      </c>
      <c r="M132">
        <v>725235.28</v>
      </c>
      <c r="N132">
        <v>121632.24</v>
      </c>
    </row>
    <row r="133" spans="1:14">
      <c r="A133" t="s">
        <v>54</v>
      </c>
      <c r="B133" s="3">
        <v>45748</v>
      </c>
      <c r="C133" t="s">
        <v>15</v>
      </c>
      <c r="D133" t="s">
        <v>18</v>
      </c>
      <c r="E133">
        <v>66455.8</v>
      </c>
      <c r="F133">
        <v>10836</v>
      </c>
      <c r="G133">
        <v>8.8999999999999996E-2</v>
      </c>
      <c r="H133">
        <v>25</v>
      </c>
      <c r="I133">
        <v>85</v>
      </c>
      <c r="J133">
        <v>9.77</v>
      </c>
      <c r="K133">
        <v>0</v>
      </c>
      <c r="L133">
        <v>4.5</v>
      </c>
      <c r="M133">
        <v>811452.72</v>
      </c>
      <c r="N133">
        <v>131325.67000000001</v>
      </c>
    </row>
    <row r="134" spans="1:14">
      <c r="A134" t="s">
        <v>55</v>
      </c>
      <c r="B134" s="3">
        <v>45658</v>
      </c>
      <c r="C134" t="s">
        <v>20</v>
      </c>
      <c r="D134" t="s">
        <v>18</v>
      </c>
      <c r="E134">
        <v>70276.28</v>
      </c>
      <c r="F134">
        <v>3043</v>
      </c>
      <c r="G134">
        <v>7.9000000000000001E-2</v>
      </c>
      <c r="H134">
        <v>9</v>
      </c>
      <c r="I134">
        <v>87.9</v>
      </c>
      <c r="J134">
        <v>3.77</v>
      </c>
      <c r="K134">
        <v>0</v>
      </c>
      <c r="L134">
        <v>4.4000000000000004</v>
      </c>
      <c r="M134">
        <v>527300.13</v>
      </c>
      <c r="N134">
        <v>84197.87</v>
      </c>
    </row>
    <row r="135" spans="1:14">
      <c r="A135" t="s">
        <v>55</v>
      </c>
      <c r="B135" s="3">
        <v>45689</v>
      </c>
      <c r="C135" t="s">
        <v>20</v>
      </c>
      <c r="D135" t="s">
        <v>18</v>
      </c>
      <c r="E135">
        <v>22071.64</v>
      </c>
      <c r="F135">
        <v>1814</v>
      </c>
      <c r="G135">
        <v>0.19600000000000001</v>
      </c>
      <c r="H135">
        <v>8</v>
      </c>
      <c r="I135">
        <v>81.099999999999994</v>
      </c>
      <c r="J135">
        <v>0.78</v>
      </c>
      <c r="K135">
        <v>0</v>
      </c>
      <c r="M135">
        <v>400831.65</v>
      </c>
      <c r="N135">
        <v>70979.31</v>
      </c>
    </row>
    <row r="136" spans="1:14">
      <c r="A136" t="s">
        <v>55</v>
      </c>
      <c r="B136" s="3">
        <v>45717</v>
      </c>
      <c r="C136" t="s">
        <v>20</v>
      </c>
      <c r="D136" t="s">
        <v>18</v>
      </c>
      <c r="E136">
        <v>52285.45</v>
      </c>
      <c r="F136">
        <v>3618</v>
      </c>
      <c r="G136">
        <v>8.5999999999999993E-2</v>
      </c>
      <c r="H136">
        <v>11</v>
      </c>
      <c r="I136">
        <v>95.6</v>
      </c>
      <c r="J136">
        <v>5.17</v>
      </c>
      <c r="K136">
        <v>1</v>
      </c>
      <c r="L136">
        <v>4.4000000000000004</v>
      </c>
      <c r="M136">
        <v>593247.25</v>
      </c>
      <c r="N136">
        <v>81240.289999999994</v>
      </c>
    </row>
    <row r="137" spans="1:14">
      <c r="A137" t="s">
        <v>55</v>
      </c>
      <c r="B137" s="3">
        <v>45748</v>
      </c>
      <c r="C137" t="s">
        <v>20</v>
      </c>
      <c r="D137" t="s">
        <v>18</v>
      </c>
      <c r="E137">
        <v>70366.759999999995</v>
      </c>
      <c r="F137">
        <v>1963</v>
      </c>
      <c r="G137">
        <v>0.182</v>
      </c>
      <c r="H137">
        <v>8</v>
      </c>
      <c r="I137">
        <v>89.8</v>
      </c>
      <c r="J137">
        <v>3.2</v>
      </c>
      <c r="K137">
        <v>0</v>
      </c>
      <c r="L137">
        <v>4.5999999999999996</v>
      </c>
      <c r="M137">
        <v>529075.94999999995</v>
      </c>
      <c r="N137">
        <v>95978.83</v>
      </c>
    </row>
    <row r="138" spans="1:14">
      <c r="A138" t="s">
        <v>56</v>
      </c>
      <c r="B138" s="3">
        <v>45658</v>
      </c>
      <c r="C138" t="s">
        <v>24</v>
      </c>
      <c r="D138" t="s">
        <v>16</v>
      </c>
      <c r="E138">
        <v>71320.66</v>
      </c>
      <c r="F138">
        <v>7888</v>
      </c>
      <c r="G138">
        <v>4.8000000000000001E-2</v>
      </c>
      <c r="H138">
        <v>20</v>
      </c>
      <c r="I138">
        <v>78.099999999999994</v>
      </c>
      <c r="J138">
        <v>3.4</v>
      </c>
      <c r="K138">
        <v>0</v>
      </c>
      <c r="M138">
        <v>633638.03</v>
      </c>
      <c r="N138">
        <v>99402.01</v>
      </c>
    </row>
    <row r="139" spans="1:14">
      <c r="A139" t="s">
        <v>56</v>
      </c>
      <c r="B139" s="3">
        <v>45689</v>
      </c>
      <c r="C139" t="s">
        <v>24</v>
      </c>
      <c r="D139" t="s">
        <v>16</v>
      </c>
      <c r="E139">
        <v>75109.67</v>
      </c>
      <c r="F139">
        <v>6244</v>
      </c>
      <c r="G139">
        <v>7.9000000000000001E-2</v>
      </c>
      <c r="H139">
        <v>15</v>
      </c>
      <c r="I139">
        <v>96.3</v>
      </c>
      <c r="J139">
        <v>7.38</v>
      </c>
      <c r="K139">
        <v>0</v>
      </c>
      <c r="L139">
        <v>3.7</v>
      </c>
      <c r="M139">
        <v>743348.84</v>
      </c>
      <c r="N139">
        <v>104186.09</v>
      </c>
    </row>
    <row r="140" spans="1:14">
      <c r="A140" t="s">
        <v>56</v>
      </c>
      <c r="B140" s="3">
        <v>45717</v>
      </c>
      <c r="C140" t="s">
        <v>24</v>
      </c>
      <c r="D140" t="s">
        <v>16</v>
      </c>
      <c r="E140">
        <v>69779</v>
      </c>
      <c r="F140">
        <v>6544</v>
      </c>
      <c r="G140">
        <v>0.152</v>
      </c>
      <c r="H140">
        <v>18</v>
      </c>
      <c r="I140">
        <v>90.2</v>
      </c>
      <c r="J140">
        <v>0.85</v>
      </c>
      <c r="K140">
        <v>1</v>
      </c>
      <c r="L140">
        <v>3.3</v>
      </c>
      <c r="M140">
        <v>758827.64</v>
      </c>
      <c r="N140">
        <v>161439.48000000001</v>
      </c>
    </row>
    <row r="141" spans="1:14">
      <c r="A141" t="s">
        <v>56</v>
      </c>
      <c r="B141" s="3">
        <v>45748</v>
      </c>
      <c r="C141" t="s">
        <v>24</v>
      </c>
      <c r="D141" t="s">
        <v>16</v>
      </c>
      <c r="E141">
        <v>44211.95</v>
      </c>
      <c r="F141">
        <v>5465</v>
      </c>
      <c r="G141">
        <v>0.187</v>
      </c>
      <c r="H141">
        <v>12</v>
      </c>
      <c r="I141">
        <v>90</v>
      </c>
      <c r="J141">
        <v>2.89</v>
      </c>
      <c r="K141">
        <v>0</v>
      </c>
      <c r="L141">
        <v>3.6</v>
      </c>
      <c r="M141">
        <v>646559.71</v>
      </c>
      <c r="N141">
        <v>97981.75</v>
      </c>
    </row>
    <row r="142" spans="1:14">
      <c r="A142" t="s">
        <v>57</v>
      </c>
      <c r="B142" s="3">
        <v>45658</v>
      </c>
      <c r="C142" t="s">
        <v>27</v>
      </c>
      <c r="D142" t="s">
        <v>18</v>
      </c>
      <c r="E142">
        <v>51430.31</v>
      </c>
      <c r="F142">
        <v>6427</v>
      </c>
      <c r="G142">
        <v>0.23400000000000001</v>
      </c>
      <c r="H142">
        <v>14</v>
      </c>
      <c r="I142">
        <v>88.8</v>
      </c>
      <c r="J142">
        <v>0.77</v>
      </c>
      <c r="K142">
        <v>0</v>
      </c>
      <c r="L142">
        <v>4.0999999999999996</v>
      </c>
      <c r="M142">
        <v>715890.53</v>
      </c>
      <c r="N142">
        <v>109032.15</v>
      </c>
    </row>
    <row r="143" spans="1:14">
      <c r="A143" t="s">
        <v>57</v>
      </c>
      <c r="B143" s="3">
        <v>45689</v>
      </c>
      <c r="C143" t="s">
        <v>27</v>
      </c>
      <c r="D143" t="s">
        <v>18</v>
      </c>
      <c r="E143">
        <v>45706.49</v>
      </c>
      <c r="F143">
        <v>6704</v>
      </c>
      <c r="G143">
        <v>3.7999999999999999E-2</v>
      </c>
      <c r="H143">
        <v>15</v>
      </c>
      <c r="I143">
        <v>94.2</v>
      </c>
      <c r="J143">
        <v>2.92</v>
      </c>
      <c r="K143">
        <v>0</v>
      </c>
      <c r="L143">
        <v>4.2</v>
      </c>
      <c r="M143">
        <v>715097.57</v>
      </c>
      <c r="N143">
        <v>151875.85999999999</v>
      </c>
    </row>
    <row r="144" spans="1:14">
      <c r="A144" t="s">
        <v>57</v>
      </c>
      <c r="B144" s="3">
        <v>45717</v>
      </c>
      <c r="C144" t="s">
        <v>27</v>
      </c>
      <c r="D144" t="s">
        <v>18</v>
      </c>
      <c r="E144">
        <v>44034.6</v>
      </c>
      <c r="F144">
        <v>5645</v>
      </c>
      <c r="G144">
        <v>6.9000000000000006E-2</v>
      </c>
      <c r="H144">
        <v>18</v>
      </c>
      <c r="I144">
        <v>88.5</v>
      </c>
      <c r="J144">
        <v>3.07</v>
      </c>
      <c r="K144">
        <v>0</v>
      </c>
      <c r="L144">
        <v>3.8</v>
      </c>
      <c r="M144">
        <v>682639.28</v>
      </c>
      <c r="N144">
        <v>77557.53</v>
      </c>
    </row>
    <row r="145" spans="1:14">
      <c r="A145" t="s">
        <v>57</v>
      </c>
      <c r="B145" s="3">
        <v>45748</v>
      </c>
      <c r="C145" t="s">
        <v>27</v>
      </c>
      <c r="D145" t="s">
        <v>18</v>
      </c>
      <c r="E145">
        <v>50198.12</v>
      </c>
      <c r="F145">
        <v>6089</v>
      </c>
      <c r="G145">
        <v>0.182</v>
      </c>
      <c r="H145">
        <v>19</v>
      </c>
      <c r="I145">
        <v>94</v>
      </c>
      <c r="J145">
        <v>9.6999999999999993</v>
      </c>
      <c r="K145">
        <v>0</v>
      </c>
      <c r="L145">
        <v>3.9</v>
      </c>
      <c r="M145">
        <v>695098.51</v>
      </c>
      <c r="N145">
        <v>108192.75</v>
      </c>
    </row>
    <row r="146" spans="1:14">
      <c r="A146" t="s">
        <v>58</v>
      </c>
      <c r="B146" s="3">
        <v>45658</v>
      </c>
      <c r="C146" t="s">
        <v>20</v>
      </c>
      <c r="D146" t="s">
        <v>16</v>
      </c>
      <c r="E146">
        <v>70488.2</v>
      </c>
      <c r="F146">
        <v>4312</v>
      </c>
      <c r="G146">
        <v>0.16900000000000001</v>
      </c>
      <c r="H146">
        <v>12</v>
      </c>
      <c r="I146">
        <v>90.2</v>
      </c>
      <c r="J146">
        <v>3.71</v>
      </c>
      <c r="K146">
        <v>0</v>
      </c>
      <c r="L146">
        <v>3.2</v>
      </c>
      <c r="M146">
        <v>577732.56999999995</v>
      </c>
      <c r="N146">
        <v>93804.27</v>
      </c>
    </row>
    <row r="147" spans="1:14">
      <c r="A147" t="s">
        <v>58</v>
      </c>
      <c r="B147" s="3">
        <v>45689</v>
      </c>
      <c r="C147" t="s">
        <v>20</v>
      </c>
      <c r="D147" t="s">
        <v>16</v>
      </c>
      <c r="E147">
        <v>50909.27</v>
      </c>
      <c r="F147">
        <v>3152</v>
      </c>
      <c r="G147">
        <v>0.06</v>
      </c>
      <c r="H147">
        <v>13</v>
      </c>
      <c r="I147">
        <v>93.7</v>
      </c>
      <c r="J147">
        <v>10.79</v>
      </c>
      <c r="K147">
        <v>0</v>
      </c>
      <c r="L147">
        <v>3.5</v>
      </c>
      <c r="M147">
        <v>537058.32999999996</v>
      </c>
      <c r="N147">
        <v>93555.71</v>
      </c>
    </row>
    <row r="148" spans="1:14">
      <c r="A148" t="s">
        <v>58</v>
      </c>
      <c r="B148" s="3">
        <v>45717</v>
      </c>
      <c r="C148" t="s">
        <v>20</v>
      </c>
      <c r="D148" t="s">
        <v>16</v>
      </c>
      <c r="E148">
        <v>53351.7</v>
      </c>
      <c r="F148">
        <v>4259</v>
      </c>
      <c r="G148">
        <v>0.156</v>
      </c>
      <c r="H148">
        <v>15</v>
      </c>
      <c r="I148">
        <v>93.7</v>
      </c>
      <c r="J148">
        <v>6.03</v>
      </c>
      <c r="K148">
        <v>0</v>
      </c>
      <c r="L148">
        <v>3.4</v>
      </c>
      <c r="M148">
        <v>601568.87</v>
      </c>
      <c r="N148">
        <v>91634.82</v>
      </c>
    </row>
    <row r="149" spans="1:14">
      <c r="A149" t="s">
        <v>58</v>
      </c>
      <c r="B149" s="3">
        <v>45748</v>
      </c>
      <c r="C149" t="s">
        <v>20</v>
      </c>
      <c r="D149" t="s">
        <v>16</v>
      </c>
      <c r="E149">
        <v>60322.400000000001</v>
      </c>
      <c r="F149">
        <v>3350</v>
      </c>
      <c r="G149">
        <v>0.108</v>
      </c>
      <c r="H149">
        <v>12</v>
      </c>
      <c r="I149">
        <v>89.4</v>
      </c>
      <c r="J149">
        <v>4.92</v>
      </c>
      <c r="K149">
        <v>0</v>
      </c>
      <c r="L149">
        <v>3.4</v>
      </c>
      <c r="M149">
        <v>570964.84</v>
      </c>
      <c r="N149">
        <v>81331.070000000007</v>
      </c>
    </row>
    <row r="150" spans="1:14">
      <c r="A150" t="s">
        <v>59</v>
      </c>
      <c r="B150" s="3">
        <v>45658</v>
      </c>
      <c r="C150" t="s">
        <v>24</v>
      </c>
      <c r="D150" t="s">
        <v>28</v>
      </c>
      <c r="E150">
        <v>51575.68</v>
      </c>
      <c r="F150">
        <v>5329</v>
      </c>
      <c r="G150">
        <v>4.7E-2</v>
      </c>
      <c r="H150">
        <v>17</v>
      </c>
      <c r="I150">
        <v>88.1</v>
      </c>
      <c r="J150">
        <v>19.78</v>
      </c>
      <c r="K150">
        <v>0</v>
      </c>
      <c r="L150">
        <v>3.8</v>
      </c>
      <c r="M150">
        <v>614024.91</v>
      </c>
      <c r="N150">
        <v>84828.93</v>
      </c>
    </row>
    <row r="151" spans="1:14">
      <c r="A151" t="s">
        <v>59</v>
      </c>
      <c r="B151" s="3">
        <v>45689</v>
      </c>
      <c r="C151" t="s">
        <v>24</v>
      </c>
      <c r="D151" t="s">
        <v>28</v>
      </c>
      <c r="E151">
        <v>43319.94</v>
      </c>
      <c r="F151">
        <v>6551</v>
      </c>
      <c r="G151">
        <v>4.3999999999999997E-2</v>
      </c>
      <c r="H151">
        <v>13</v>
      </c>
      <c r="I151">
        <v>99</v>
      </c>
      <c r="J151">
        <v>5.45</v>
      </c>
      <c r="K151">
        <v>0</v>
      </c>
      <c r="L151">
        <v>4.0999999999999996</v>
      </c>
      <c r="M151">
        <v>712868.35</v>
      </c>
      <c r="N151">
        <v>133650.51</v>
      </c>
    </row>
    <row r="152" spans="1:14">
      <c r="A152" t="s">
        <v>59</v>
      </c>
      <c r="B152" s="3">
        <v>45717</v>
      </c>
      <c r="C152" t="s">
        <v>24</v>
      </c>
      <c r="D152" t="s">
        <v>28</v>
      </c>
      <c r="E152">
        <v>47093.55</v>
      </c>
      <c r="F152">
        <v>5550</v>
      </c>
      <c r="G152">
        <v>0.1</v>
      </c>
      <c r="H152">
        <v>12</v>
      </c>
      <c r="I152">
        <v>95</v>
      </c>
      <c r="J152">
        <v>2.33</v>
      </c>
      <c r="K152">
        <v>1</v>
      </c>
      <c r="L152">
        <v>3.7</v>
      </c>
      <c r="M152">
        <v>696744.15</v>
      </c>
      <c r="N152">
        <v>152230.09</v>
      </c>
    </row>
    <row r="153" spans="1:14">
      <c r="A153" t="s">
        <v>59</v>
      </c>
      <c r="B153" s="3">
        <v>45748</v>
      </c>
      <c r="C153" t="s">
        <v>24</v>
      </c>
      <c r="D153" t="s">
        <v>28</v>
      </c>
      <c r="E153">
        <v>71855.09</v>
      </c>
      <c r="F153">
        <v>5911</v>
      </c>
      <c r="G153">
        <v>0.19700000000000001</v>
      </c>
      <c r="H153">
        <v>15</v>
      </c>
      <c r="I153">
        <v>94.3</v>
      </c>
      <c r="J153">
        <v>3.55</v>
      </c>
      <c r="K153">
        <v>0</v>
      </c>
      <c r="L153">
        <v>4.0999999999999996</v>
      </c>
      <c r="M153">
        <v>725847.99</v>
      </c>
      <c r="N153">
        <v>122698.73</v>
      </c>
    </row>
    <row r="154" spans="1:14">
      <c r="A154" t="s">
        <v>60</v>
      </c>
      <c r="B154" s="3">
        <v>45658</v>
      </c>
      <c r="C154" t="s">
        <v>15</v>
      </c>
      <c r="D154" t="s">
        <v>18</v>
      </c>
      <c r="E154">
        <v>75645.23</v>
      </c>
      <c r="F154">
        <v>9674</v>
      </c>
      <c r="G154">
        <v>0.23400000000000001</v>
      </c>
      <c r="H154">
        <v>21</v>
      </c>
      <c r="I154">
        <v>87.4</v>
      </c>
      <c r="J154">
        <v>0.2</v>
      </c>
      <c r="K154">
        <v>0</v>
      </c>
      <c r="L154">
        <v>4.5</v>
      </c>
      <c r="M154">
        <v>785028.25</v>
      </c>
      <c r="N154">
        <v>110726.44</v>
      </c>
    </row>
    <row r="155" spans="1:14">
      <c r="A155" t="s">
        <v>60</v>
      </c>
      <c r="B155" s="3">
        <v>45689</v>
      </c>
      <c r="C155" t="s">
        <v>15</v>
      </c>
      <c r="D155" t="s">
        <v>18</v>
      </c>
      <c r="E155">
        <v>64374.75</v>
      </c>
      <c r="F155">
        <v>6740</v>
      </c>
      <c r="G155">
        <v>0.16900000000000001</v>
      </c>
      <c r="H155">
        <v>18</v>
      </c>
      <c r="I155">
        <v>87</v>
      </c>
      <c r="J155">
        <v>2.09</v>
      </c>
      <c r="K155">
        <v>0</v>
      </c>
      <c r="L155">
        <v>4.2</v>
      </c>
      <c r="M155">
        <v>698492.67</v>
      </c>
      <c r="N155">
        <v>117319.32</v>
      </c>
    </row>
    <row r="156" spans="1:14">
      <c r="A156" t="s">
        <v>60</v>
      </c>
      <c r="B156" s="3">
        <v>45717</v>
      </c>
      <c r="C156" t="s">
        <v>15</v>
      </c>
      <c r="D156" t="s">
        <v>18</v>
      </c>
      <c r="E156">
        <v>61433.84</v>
      </c>
      <c r="F156">
        <v>7745</v>
      </c>
      <c r="G156">
        <v>0.18</v>
      </c>
      <c r="H156">
        <v>16</v>
      </c>
      <c r="I156">
        <v>90.5</v>
      </c>
      <c r="J156">
        <v>2.2599999999999998</v>
      </c>
      <c r="K156">
        <v>0</v>
      </c>
      <c r="L156">
        <v>4.2</v>
      </c>
      <c r="M156">
        <v>685830.24</v>
      </c>
      <c r="N156">
        <v>128736.18</v>
      </c>
    </row>
    <row r="157" spans="1:14">
      <c r="A157" t="s">
        <v>60</v>
      </c>
      <c r="B157" s="3">
        <v>45748</v>
      </c>
      <c r="C157" t="s">
        <v>15</v>
      </c>
      <c r="D157" t="s">
        <v>18</v>
      </c>
      <c r="E157">
        <v>42698.14</v>
      </c>
      <c r="F157">
        <v>7693</v>
      </c>
      <c r="G157">
        <v>0.187</v>
      </c>
      <c r="H157">
        <v>19</v>
      </c>
      <c r="I157">
        <v>90.1</v>
      </c>
      <c r="J157">
        <v>0.44</v>
      </c>
      <c r="K157">
        <v>0</v>
      </c>
      <c r="L157">
        <v>4.4000000000000004</v>
      </c>
      <c r="M157">
        <v>702318.94</v>
      </c>
      <c r="N157">
        <v>112829.29</v>
      </c>
    </row>
    <row r="158" spans="1:14">
      <c r="A158" t="s">
        <v>61</v>
      </c>
      <c r="B158" s="3">
        <v>45658</v>
      </c>
      <c r="C158" t="s">
        <v>20</v>
      </c>
      <c r="D158" t="s">
        <v>28</v>
      </c>
      <c r="E158">
        <v>86883.31</v>
      </c>
      <c r="F158">
        <v>6424</v>
      </c>
      <c r="G158">
        <v>5.7000000000000002E-2</v>
      </c>
      <c r="H158">
        <v>19</v>
      </c>
      <c r="I158">
        <v>85.2</v>
      </c>
      <c r="J158">
        <v>3.08</v>
      </c>
      <c r="K158">
        <v>0</v>
      </c>
      <c r="L158">
        <v>3.9</v>
      </c>
      <c r="M158">
        <v>700078.32</v>
      </c>
      <c r="N158">
        <v>123707.58</v>
      </c>
    </row>
    <row r="159" spans="1:14">
      <c r="A159" t="s">
        <v>61</v>
      </c>
      <c r="B159" s="3">
        <v>45689</v>
      </c>
      <c r="C159" t="s">
        <v>20</v>
      </c>
      <c r="D159" t="s">
        <v>28</v>
      </c>
      <c r="E159">
        <v>41863.08</v>
      </c>
      <c r="F159">
        <v>5400</v>
      </c>
      <c r="G159">
        <v>0.114</v>
      </c>
      <c r="H159">
        <v>11</v>
      </c>
      <c r="I159">
        <v>91.6</v>
      </c>
      <c r="J159">
        <v>7.99</v>
      </c>
      <c r="K159">
        <v>0</v>
      </c>
      <c r="L159">
        <v>3</v>
      </c>
      <c r="M159">
        <v>602002.31999999995</v>
      </c>
      <c r="N159">
        <v>110453.28</v>
      </c>
    </row>
    <row r="160" spans="1:14">
      <c r="A160" t="s">
        <v>61</v>
      </c>
      <c r="B160" s="3">
        <v>45717</v>
      </c>
      <c r="C160" t="s">
        <v>20</v>
      </c>
      <c r="D160" t="s">
        <v>28</v>
      </c>
      <c r="E160">
        <v>56918.16</v>
      </c>
      <c r="F160">
        <v>7015</v>
      </c>
      <c r="G160">
        <v>0.158</v>
      </c>
      <c r="H160">
        <v>18</v>
      </c>
      <c r="I160">
        <v>74.2</v>
      </c>
      <c r="J160">
        <v>0.2</v>
      </c>
      <c r="K160">
        <v>0</v>
      </c>
      <c r="L160">
        <v>3.4</v>
      </c>
      <c r="M160">
        <v>724216.07</v>
      </c>
      <c r="N160">
        <v>100627.56</v>
      </c>
    </row>
    <row r="161" spans="1:14">
      <c r="A161" t="s">
        <v>61</v>
      </c>
      <c r="B161" s="3">
        <v>45748</v>
      </c>
      <c r="C161" t="s">
        <v>20</v>
      </c>
      <c r="D161" t="s">
        <v>28</v>
      </c>
      <c r="E161">
        <v>23254.57</v>
      </c>
      <c r="F161">
        <v>3847</v>
      </c>
      <c r="G161">
        <v>0.159</v>
      </c>
      <c r="H161">
        <v>12</v>
      </c>
      <c r="I161">
        <v>93</v>
      </c>
      <c r="J161">
        <v>5.46</v>
      </c>
      <c r="K161">
        <v>0</v>
      </c>
      <c r="L161">
        <v>3.3</v>
      </c>
      <c r="M161">
        <v>620973.03</v>
      </c>
      <c r="N161">
        <v>72303.850000000006</v>
      </c>
    </row>
    <row r="162" spans="1:14">
      <c r="A162" t="s">
        <v>62</v>
      </c>
      <c r="B162" s="3">
        <v>45658</v>
      </c>
      <c r="C162" t="s">
        <v>24</v>
      </c>
      <c r="D162" t="s">
        <v>18</v>
      </c>
      <c r="E162">
        <v>41443.410000000003</v>
      </c>
      <c r="F162">
        <v>7455</v>
      </c>
      <c r="G162">
        <v>0.17499999999999999</v>
      </c>
      <c r="H162">
        <v>16</v>
      </c>
      <c r="I162">
        <v>90.1</v>
      </c>
      <c r="J162">
        <v>4.05</v>
      </c>
      <c r="K162">
        <v>0</v>
      </c>
      <c r="L162">
        <v>4</v>
      </c>
      <c r="M162">
        <v>650480.06000000006</v>
      </c>
      <c r="N162">
        <v>109012.07</v>
      </c>
    </row>
    <row r="163" spans="1:14">
      <c r="A163" t="s">
        <v>62</v>
      </c>
      <c r="B163" s="3">
        <v>45689</v>
      </c>
      <c r="C163" t="s">
        <v>24</v>
      </c>
      <c r="D163" t="s">
        <v>18</v>
      </c>
      <c r="E163">
        <v>48438.85</v>
      </c>
      <c r="F163">
        <v>6992</v>
      </c>
      <c r="G163">
        <v>3.4000000000000002E-2</v>
      </c>
      <c r="H163">
        <v>20</v>
      </c>
      <c r="I163">
        <v>91</v>
      </c>
      <c r="J163">
        <v>4.3600000000000003</v>
      </c>
      <c r="K163">
        <v>0</v>
      </c>
      <c r="L163">
        <v>4.2</v>
      </c>
      <c r="M163">
        <v>778298.88</v>
      </c>
      <c r="N163">
        <v>130076.72</v>
      </c>
    </row>
    <row r="164" spans="1:14">
      <c r="A164" t="s">
        <v>62</v>
      </c>
      <c r="B164" s="3">
        <v>45717</v>
      </c>
      <c r="C164" t="s">
        <v>24</v>
      </c>
      <c r="D164" t="s">
        <v>18</v>
      </c>
      <c r="E164">
        <v>57143.3</v>
      </c>
      <c r="F164">
        <v>8038</v>
      </c>
      <c r="G164">
        <v>0.193</v>
      </c>
      <c r="H164">
        <v>17</v>
      </c>
      <c r="I164">
        <v>72.599999999999994</v>
      </c>
      <c r="K164">
        <v>0</v>
      </c>
      <c r="L164">
        <v>4.2</v>
      </c>
      <c r="M164">
        <v>677096.71</v>
      </c>
      <c r="N164">
        <v>97174.11</v>
      </c>
    </row>
    <row r="165" spans="1:14">
      <c r="A165" t="s">
        <v>62</v>
      </c>
      <c r="B165" s="3">
        <v>45748</v>
      </c>
      <c r="C165" t="s">
        <v>24</v>
      </c>
      <c r="D165" t="s">
        <v>18</v>
      </c>
      <c r="E165">
        <v>66870.62</v>
      </c>
      <c r="F165">
        <v>6055</v>
      </c>
      <c r="G165">
        <v>7.4999999999999997E-2</v>
      </c>
      <c r="H165">
        <v>19</v>
      </c>
      <c r="I165">
        <v>93.8</v>
      </c>
      <c r="J165">
        <v>0.54</v>
      </c>
      <c r="K165">
        <v>0</v>
      </c>
      <c r="L165">
        <v>4.3</v>
      </c>
      <c r="M165">
        <v>692008.64</v>
      </c>
      <c r="N165">
        <v>116337.87</v>
      </c>
    </row>
    <row r="166" spans="1:14">
      <c r="A166" t="s">
        <v>63</v>
      </c>
      <c r="B166" s="3">
        <v>45658</v>
      </c>
      <c r="C166" t="s">
        <v>20</v>
      </c>
      <c r="D166" t="s">
        <v>28</v>
      </c>
      <c r="E166">
        <v>72150.53</v>
      </c>
      <c r="F166">
        <v>9323</v>
      </c>
      <c r="G166">
        <v>0.157</v>
      </c>
      <c r="H166">
        <v>22</v>
      </c>
      <c r="I166">
        <v>82.9</v>
      </c>
      <c r="J166">
        <v>11.37</v>
      </c>
      <c r="K166">
        <v>1</v>
      </c>
      <c r="L166">
        <v>4.3</v>
      </c>
      <c r="M166">
        <v>825797.91</v>
      </c>
      <c r="N166">
        <v>130945.24</v>
      </c>
    </row>
    <row r="167" spans="1:14">
      <c r="A167" t="s">
        <v>63</v>
      </c>
      <c r="B167" s="3">
        <v>45689</v>
      </c>
      <c r="C167" t="s">
        <v>20</v>
      </c>
      <c r="D167" t="s">
        <v>28</v>
      </c>
      <c r="E167">
        <v>35303.300000000003</v>
      </c>
      <c r="F167">
        <v>8789</v>
      </c>
      <c r="G167">
        <v>0.123</v>
      </c>
      <c r="H167">
        <v>22</v>
      </c>
      <c r="I167">
        <v>86.1</v>
      </c>
      <c r="J167">
        <v>9.43</v>
      </c>
      <c r="K167">
        <v>0</v>
      </c>
      <c r="L167">
        <v>4.2</v>
      </c>
      <c r="M167">
        <v>706285.52</v>
      </c>
      <c r="N167">
        <v>138014.72</v>
      </c>
    </row>
    <row r="168" spans="1:14">
      <c r="A168" t="s">
        <v>63</v>
      </c>
      <c r="B168" s="3">
        <v>45717</v>
      </c>
      <c r="C168" t="s">
        <v>20</v>
      </c>
      <c r="D168" t="s">
        <v>28</v>
      </c>
      <c r="E168">
        <v>30301.86</v>
      </c>
      <c r="F168">
        <v>6939</v>
      </c>
      <c r="G168">
        <v>0.09</v>
      </c>
      <c r="H168">
        <v>16</v>
      </c>
      <c r="I168">
        <v>90.3</v>
      </c>
      <c r="J168">
        <v>3.49</v>
      </c>
      <c r="K168">
        <v>0</v>
      </c>
      <c r="L168">
        <v>4</v>
      </c>
      <c r="M168">
        <v>665534.69999999995</v>
      </c>
      <c r="N168">
        <v>113167.73</v>
      </c>
    </row>
    <row r="169" spans="1:14">
      <c r="A169" t="s">
        <v>63</v>
      </c>
      <c r="B169" s="3">
        <v>45748</v>
      </c>
      <c r="C169" t="s">
        <v>20</v>
      </c>
      <c r="D169" t="s">
        <v>28</v>
      </c>
      <c r="E169">
        <v>78432.14</v>
      </c>
      <c r="F169">
        <v>9440</v>
      </c>
      <c r="G169">
        <v>0.126</v>
      </c>
      <c r="H169">
        <v>23</v>
      </c>
      <c r="I169">
        <v>89.2</v>
      </c>
      <c r="J169">
        <v>7.86</v>
      </c>
      <c r="K169">
        <v>0</v>
      </c>
      <c r="L169">
        <v>4.0999999999999996</v>
      </c>
      <c r="M169">
        <v>820729.29</v>
      </c>
      <c r="N169">
        <v>159325.47</v>
      </c>
    </row>
    <row r="170" spans="1:14">
      <c r="A170" t="s">
        <v>64</v>
      </c>
      <c r="B170" s="3">
        <v>45658</v>
      </c>
      <c r="C170" t="s">
        <v>15</v>
      </c>
      <c r="D170" t="s">
        <v>16</v>
      </c>
      <c r="E170">
        <v>62059.18</v>
      </c>
      <c r="F170">
        <v>9374</v>
      </c>
      <c r="G170">
        <v>0.13600000000000001</v>
      </c>
      <c r="H170">
        <v>25</v>
      </c>
      <c r="I170">
        <v>87.1</v>
      </c>
      <c r="J170">
        <v>12.55</v>
      </c>
      <c r="K170">
        <v>0</v>
      </c>
      <c r="L170">
        <v>4.9000000000000004</v>
      </c>
      <c r="M170">
        <v>739831.73</v>
      </c>
      <c r="N170">
        <v>119490.21</v>
      </c>
    </row>
    <row r="171" spans="1:14">
      <c r="A171" t="s">
        <v>64</v>
      </c>
      <c r="B171" s="3">
        <v>45689</v>
      </c>
      <c r="C171" t="s">
        <v>15</v>
      </c>
      <c r="D171" t="s">
        <v>16</v>
      </c>
      <c r="E171">
        <v>32834.480000000003</v>
      </c>
      <c r="F171">
        <v>7576</v>
      </c>
      <c r="G171">
        <v>9.9000000000000005E-2</v>
      </c>
      <c r="H171">
        <v>15</v>
      </c>
      <c r="I171">
        <v>84.1</v>
      </c>
      <c r="J171">
        <v>3.48</v>
      </c>
      <c r="K171">
        <v>0</v>
      </c>
      <c r="L171">
        <v>5</v>
      </c>
      <c r="M171">
        <v>593637.14</v>
      </c>
      <c r="N171">
        <v>106648.14</v>
      </c>
    </row>
    <row r="172" spans="1:14">
      <c r="A172" t="s">
        <v>64</v>
      </c>
      <c r="B172" s="3">
        <v>45717</v>
      </c>
      <c r="C172" t="s">
        <v>15</v>
      </c>
      <c r="D172" t="s">
        <v>16</v>
      </c>
      <c r="E172">
        <v>50825.08</v>
      </c>
      <c r="F172">
        <v>8949</v>
      </c>
      <c r="G172">
        <v>0.157</v>
      </c>
      <c r="H172">
        <v>21</v>
      </c>
      <c r="I172">
        <v>84.7</v>
      </c>
      <c r="J172">
        <v>7.73</v>
      </c>
      <c r="K172">
        <v>0</v>
      </c>
      <c r="L172">
        <v>4.9000000000000004</v>
      </c>
      <c r="M172">
        <v>769702.76</v>
      </c>
      <c r="N172">
        <v>158697</v>
      </c>
    </row>
    <row r="173" spans="1:14">
      <c r="A173" t="s">
        <v>64</v>
      </c>
      <c r="B173" s="3">
        <v>45748</v>
      </c>
      <c r="C173" t="s">
        <v>15</v>
      </c>
      <c r="D173" t="s">
        <v>16</v>
      </c>
      <c r="E173">
        <v>36606.51</v>
      </c>
      <c r="F173">
        <v>7671</v>
      </c>
      <c r="G173">
        <v>0.11799999999999999</v>
      </c>
      <c r="H173">
        <v>18</v>
      </c>
      <c r="I173">
        <v>89.8</v>
      </c>
      <c r="J173">
        <v>0.25</v>
      </c>
      <c r="K173">
        <v>0</v>
      </c>
      <c r="L173">
        <v>4.4000000000000004</v>
      </c>
      <c r="M173">
        <v>679731.57</v>
      </c>
      <c r="N173">
        <v>121546.42</v>
      </c>
    </row>
    <row r="174" spans="1:14">
      <c r="A174" t="s">
        <v>65</v>
      </c>
      <c r="B174" s="3">
        <v>45658</v>
      </c>
      <c r="C174" t="s">
        <v>15</v>
      </c>
      <c r="D174" t="s">
        <v>16</v>
      </c>
      <c r="E174">
        <v>65237.79</v>
      </c>
      <c r="F174">
        <v>8741</v>
      </c>
      <c r="G174">
        <v>0.157</v>
      </c>
      <c r="H174">
        <v>20</v>
      </c>
      <c r="I174">
        <v>94.4</v>
      </c>
      <c r="J174">
        <v>6.43</v>
      </c>
      <c r="K174">
        <v>0</v>
      </c>
      <c r="L174">
        <v>3.3</v>
      </c>
      <c r="M174">
        <v>780344.18</v>
      </c>
      <c r="N174">
        <v>118239.09</v>
      </c>
    </row>
    <row r="175" spans="1:14">
      <c r="A175" t="s">
        <v>65</v>
      </c>
      <c r="B175" s="3">
        <v>45689</v>
      </c>
      <c r="C175" t="s">
        <v>15</v>
      </c>
      <c r="D175" t="s">
        <v>16</v>
      </c>
      <c r="E175">
        <v>43645.98</v>
      </c>
      <c r="F175">
        <v>9480</v>
      </c>
      <c r="G175">
        <v>0.109</v>
      </c>
      <c r="H175">
        <v>22</v>
      </c>
      <c r="I175">
        <v>89</v>
      </c>
      <c r="J175">
        <v>2.11</v>
      </c>
      <c r="K175">
        <v>0</v>
      </c>
      <c r="L175">
        <v>3.1</v>
      </c>
      <c r="M175">
        <v>721364.11</v>
      </c>
      <c r="N175">
        <v>147272.81</v>
      </c>
    </row>
    <row r="176" spans="1:14">
      <c r="A176" t="s">
        <v>65</v>
      </c>
      <c r="B176" s="3">
        <v>45717</v>
      </c>
      <c r="C176" t="s">
        <v>15</v>
      </c>
      <c r="D176" t="s">
        <v>16</v>
      </c>
      <c r="E176">
        <v>68040.149999999994</v>
      </c>
      <c r="F176">
        <v>9826</v>
      </c>
      <c r="G176">
        <v>0.125</v>
      </c>
      <c r="H176">
        <v>20</v>
      </c>
      <c r="I176">
        <v>83.9</v>
      </c>
      <c r="J176">
        <v>9.1199999999999992</v>
      </c>
      <c r="K176">
        <v>0</v>
      </c>
      <c r="L176">
        <v>3.6</v>
      </c>
      <c r="M176">
        <v>758138.29</v>
      </c>
      <c r="N176">
        <v>132975.26</v>
      </c>
    </row>
    <row r="177" spans="1:14">
      <c r="A177" t="s">
        <v>65</v>
      </c>
      <c r="B177" s="3">
        <v>45748</v>
      </c>
      <c r="C177" t="s">
        <v>15</v>
      </c>
      <c r="D177" t="s">
        <v>16</v>
      </c>
      <c r="E177">
        <v>63043.94</v>
      </c>
      <c r="F177">
        <v>10402</v>
      </c>
      <c r="G177">
        <v>0.159</v>
      </c>
      <c r="H177">
        <v>23</v>
      </c>
      <c r="I177">
        <v>93.9</v>
      </c>
      <c r="J177">
        <v>2.71</v>
      </c>
      <c r="K177">
        <v>0</v>
      </c>
      <c r="L177">
        <v>3.1</v>
      </c>
      <c r="M177">
        <v>804264</v>
      </c>
      <c r="N177">
        <v>167117.91</v>
      </c>
    </row>
    <row r="178" spans="1:14">
      <c r="A178" t="s">
        <v>66</v>
      </c>
      <c r="B178" s="3">
        <v>45658</v>
      </c>
      <c r="C178" t="s">
        <v>27</v>
      </c>
      <c r="D178" t="s">
        <v>21</v>
      </c>
      <c r="E178">
        <v>67494.09</v>
      </c>
      <c r="F178">
        <v>12361</v>
      </c>
      <c r="G178">
        <v>4.5999999999999999E-2</v>
      </c>
      <c r="H178">
        <v>24</v>
      </c>
      <c r="I178">
        <v>76.599999999999994</v>
      </c>
      <c r="J178">
        <v>3.65</v>
      </c>
      <c r="K178">
        <v>1</v>
      </c>
      <c r="L178">
        <v>3.7</v>
      </c>
      <c r="M178">
        <v>887537.75</v>
      </c>
      <c r="N178">
        <v>160362.92000000001</v>
      </c>
    </row>
    <row r="179" spans="1:14">
      <c r="A179" t="s">
        <v>66</v>
      </c>
      <c r="B179" s="3">
        <v>45689</v>
      </c>
      <c r="C179" t="s">
        <v>27</v>
      </c>
      <c r="D179" t="s">
        <v>21</v>
      </c>
      <c r="E179">
        <v>29389.32</v>
      </c>
      <c r="F179">
        <v>7925</v>
      </c>
      <c r="G179">
        <v>0.17699999999999999</v>
      </c>
      <c r="H179">
        <v>21</v>
      </c>
      <c r="I179">
        <v>90.9</v>
      </c>
      <c r="J179">
        <v>7.86</v>
      </c>
      <c r="K179">
        <v>0</v>
      </c>
      <c r="L179">
        <v>4</v>
      </c>
      <c r="M179">
        <v>783582</v>
      </c>
      <c r="N179">
        <v>130670.93</v>
      </c>
    </row>
    <row r="180" spans="1:14">
      <c r="A180" t="s">
        <v>66</v>
      </c>
      <c r="B180" s="3">
        <v>45717</v>
      </c>
      <c r="C180" t="s">
        <v>27</v>
      </c>
      <c r="D180" t="s">
        <v>21</v>
      </c>
      <c r="E180">
        <v>40535.089999999997</v>
      </c>
      <c r="F180">
        <v>8870</v>
      </c>
      <c r="G180">
        <v>4.1000000000000002E-2</v>
      </c>
      <c r="H180">
        <v>21</v>
      </c>
      <c r="I180">
        <v>86.6</v>
      </c>
      <c r="J180">
        <v>0.3</v>
      </c>
      <c r="K180">
        <v>0</v>
      </c>
      <c r="L180">
        <v>4.0999999999999996</v>
      </c>
      <c r="M180">
        <v>781955.52</v>
      </c>
      <c r="N180">
        <v>152578.71</v>
      </c>
    </row>
    <row r="181" spans="1:14">
      <c r="A181" t="s">
        <v>66</v>
      </c>
      <c r="B181" s="3">
        <v>45748</v>
      </c>
      <c r="C181" t="s">
        <v>27</v>
      </c>
      <c r="D181" t="s">
        <v>21</v>
      </c>
      <c r="E181">
        <v>74881.56</v>
      </c>
      <c r="F181">
        <v>9999</v>
      </c>
      <c r="G181">
        <v>1.2999999999999999E-2</v>
      </c>
      <c r="H181">
        <v>20</v>
      </c>
      <c r="I181">
        <v>89.6</v>
      </c>
      <c r="J181">
        <v>8.44</v>
      </c>
      <c r="K181">
        <v>0</v>
      </c>
      <c r="L181">
        <v>4.0999999999999996</v>
      </c>
      <c r="M181">
        <v>898031.04</v>
      </c>
      <c r="N181">
        <v>138666.5</v>
      </c>
    </row>
    <row r="182" spans="1:14">
      <c r="A182" t="s">
        <v>67</v>
      </c>
      <c r="B182" s="3">
        <v>45658</v>
      </c>
      <c r="C182" t="s">
        <v>27</v>
      </c>
      <c r="D182" t="s">
        <v>16</v>
      </c>
      <c r="E182">
        <v>68491.11</v>
      </c>
      <c r="F182">
        <v>11154</v>
      </c>
      <c r="G182">
        <v>1E-3</v>
      </c>
      <c r="H182">
        <v>24</v>
      </c>
      <c r="I182">
        <v>89.4</v>
      </c>
      <c r="J182">
        <v>5.27</v>
      </c>
      <c r="K182">
        <v>1</v>
      </c>
      <c r="L182">
        <v>3.9</v>
      </c>
      <c r="M182">
        <v>855341.28</v>
      </c>
      <c r="N182">
        <v>175823.8</v>
      </c>
    </row>
    <row r="183" spans="1:14">
      <c r="A183" t="s">
        <v>67</v>
      </c>
      <c r="B183" s="3">
        <v>45689</v>
      </c>
      <c r="C183" t="s">
        <v>27</v>
      </c>
      <c r="D183" t="s">
        <v>16</v>
      </c>
      <c r="E183">
        <v>45209.25</v>
      </c>
      <c r="F183">
        <v>9287</v>
      </c>
      <c r="G183">
        <v>0.14099999999999999</v>
      </c>
      <c r="H183">
        <v>22</v>
      </c>
      <c r="I183">
        <v>86.4</v>
      </c>
      <c r="J183">
        <v>13.22</v>
      </c>
      <c r="K183">
        <v>0</v>
      </c>
      <c r="L183">
        <v>3.6</v>
      </c>
      <c r="M183">
        <v>751393.88</v>
      </c>
      <c r="N183">
        <v>91480.320000000007</v>
      </c>
    </row>
    <row r="184" spans="1:14">
      <c r="A184" t="s">
        <v>67</v>
      </c>
      <c r="B184" s="3">
        <v>45717</v>
      </c>
      <c r="C184" t="s">
        <v>27</v>
      </c>
      <c r="D184" t="s">
        <v>16</v>
      </c>
      <c r="E184">
        <v>63010.23</v>
      </c>
      <c r="F184">
        <v>9812</v>
      </c>
      <c r="G184">
        <v>0.113</v>
      </c>
      <c r="H184">
        <v>24</v>
      </c>
      <c r="I184">
        <v>76.8</v>
      </c>
      <c r="J184">
        <v>1.02</v>
      </c>
      <c r="K184">
        <v>1</v>
      </c>
      <c r="L184">
        <v>3.8</v>
      </c>
      <c r="M184">
        <v>761077.08</v>
      </c>
      <c r="N184">
        <v>113605.93</v>
      </c>
    </row>
    <row r="185" spans="1:14">
      <c r="A185" t="s">
        <v>67</v>
      </c>
      <c r="B185" s="3">
        <v>45748</v>
      </c>
      <c r="C185" t="s">
        <v>27</v>
      </c>
      <c r="D185" t="s">
        <v>16</v>
      </c>
      <c r="E185">
        <v>57948.88</v>
      </c>
      <c r="F185">
        <v>10741</v>
      </c>
      <c r="G185">
        <v>7.0000000000000007E-2</v>
      </c>
      <c r="H185">
        <v>25</v>
      </c>
      <c r="I185">
        <v>90.1</v>
      </c>
      <c r="J185">
        <v>4.03</v>
      </c>
      <c r="K185">
        <v>0</v>
      </c>
      <c r="L185">
        <v>3.1</v>
      </c>
      <c r="M185">
        <v>819660.59</v>
      </c>
      <c r="N185">
        <v>172699.95</v>
      </c>
    </row>
    <row r="186" spans="1:14">
      <c r="A186" t="s">
        <v>68</v>
      </c>
      <c r="B186" s="3">
        <v>45658</v>
      </c>
      <c r="C186" t="s">
        <v>20</v>
      </c>
      <c r="D186" t="s">
        <v>18</v>
      </c>
      <c r="E186">
        <v>71941.62</v>
      </c>
      <c r="F186">
        <v>6084</v>
      </c>
      <c r="G186">
        <v>7.1999999999999995E-2</v>
      </c>
      <c r="H186">
        <v>13</v>
      </c>
      <c r="I186">
        <v>93.7</v>
      </c>
      <c r="J186">
        <v>2.34</v>
      </c>
      <c r="K186">
        <v>0</v>
      </c>
      <c r="L186">
        <v>4.4000000000000004</v>
      </c>
      <c r="M186">
        <v>681855.56</v>
      </c>
      <c r="N186">
        <v>117645.61</v>
      </c>
    </row>
    <row r="187" spans="1:14">
      <c r="A187" t="s">
        <v>68</v>
      </c>
      <c r="B187" s="3">
        <v>45689</v>
      </c>
      <c r="C187" t="s">
        <v>20</v>
      </c>
      <c r="D187" t="s">
        <v>18</v>
      </c>
      <c r="E187">
        <v>57147.88</v>
      </c>
      <c r="F187">
        <v>5252</v>
      </c>
      <c r="G187">
        <v>0.161</v>
      </c>
      <c r="H187">
        <v>15</v>
      </c>
      <c r="I187">
        <v>95.5</v>
      </c>
      <c r="J187">
        <v>8.51</v>
      </c>
      <c r="K187">
        <v>0</v>
      </c>
      <c r="L187">
        <v>4.4000000000000004</v>
      </c>
      <c r="M187">
        <v>678311.17</v>
      </c>
      <c r="N187">
        <v>132029.76000000001</v>
      </c>
    </row>
    <row r="188" spans="1:14">
      <c r="A188" t="s">
        <v>68</v>
      </c>
      <c r="B188" s="3">
        <v>45717</v>
      </c>
      <c r="C188" t="s">
        <v>20</v>
      </c>
      <c r="D188" t="s">
        <v>18</v>
      </c>
      <c r="E188">
        <v>48031.74</v>
      </c>
      <c r="F188">
        <v>6516</v>
      </c>
      <c r="G188">
        <v>6.7000000000000004E-2</v>
      </c>
      <c r="H188">
        <v>14</v>
      </c>
      <c r="I188">
        <v>99</v>
      </c>
      <c r="J188">
        <v>0.48</v>
      </c>
      <c r="K188">
        <v>1</v>
      </c>
      <c r="L188">
        <v>4.3</v>
      </c>
      <c r="M188">
        <v>765906.95</v>
      </c>
      <c r="N188">
        <v>114005.9</v>
      </c>
    </row>
    <row r="189" spans="1:14">
      <c r="A189" t="s">
        <v>68</v>
      </c>
      <c r="B189" s="3">
        <v>45748</v>
      </c>
      <c r="C189" t="s">
        <v>20</v>
      </c>
      <c r="D189" t="s">
        <v>18</v>
      </c>
      <c r="E189">
        <v>72784.800000000003</v>
      </c>
      <c r="F189">
        <v>7932</v>
      </c>
      <c r="G189">
        <v>9.4E-2</v>
      </c>
      <c r="H189">
        <v>20</v>
      </c>
      <c r="I189">
        <v>74.900000000000006</v>
      </c>
      <c r="J189">
        <v>13.62</v>
      </c>
      <c r="K189">
        <v>0</v>
      </c>
      <c r="L189">
        <v>4.2</v>
      </c>
      <c r="M189">
        <v>712546.38</v>
      </c>
      <c r="N189">
        <v>101480.04</v>
      </c>
    </row>
    <row r="190" spans="1:14">
      <c r="A190" t="s">
        <v>69</v>
      </c>
      <c r="B190" s="3">
        <v>45658</v>
      </c>
      <c r="C190" t="s">
        <v>15</v>
      </c>
      <c r="D190" t="s">
        <v>18</v>
      </c>
      <c r="E190">
        <v>71641.899999999994</v>
      </c>
      <c r="F190">
        <v>3506</v>
      </c>
      <c r="G190">
        <v>0</v>
      </c>
      <c r="H190">
        <v>11</v>
      </c>
      <c r="I190">
        <v>86.4</v>
      </c>
      <c r="J190">
        <v>7.77</v>
      </c>
      <c r="K190">
        <v>0</v>
      </c>
      <c r="L190">
        <v>4.0999999999999996</v>
      </c>
      <c r="M190">
        <v>625993.82999999996</v>
      </c>
      <c r="N190">
        <v>98960.320000000007</v>
      </c>
    </row>
    <row r="191" spans="1:14">
      <c r="A191" t="s">
        <v>69</v>
      </c>
      <c r="B191" s="3">
        <v>45689</v>
      </c>
      <c r="C191" t="s">
        <v>15</v>
      </c>
      <c r="D191" t="s">
        <v>18</v>
      </c>
      <c r="E191">
        <v>55788.61</v>
      </c>
      <c r="F191">
        <v>2312</v>
      </c>
      <c r="G191">
        <v>5.8000000000000003E-2</v>
      </c>
      <c r="H191">
        <v>10</v>
      </c>
      <c r="I191">
        <v>91.3</v>
      </c>
      <c r="J191">
        <v>1.99</v>
      </c>
      <c r="K191">
        <v>0</v>
      </c>
      <c r="L191">
        <v>3.8</v>
      </c>
      <c r="M191">
        <v>550962.93000000005</v>
      </c>
      <c r="N191">
        <v>97144.58</v>
      </c>
    </row>
    <row r="192" spans="1:14">
      <c r="A192" t="s">
        <v>69</v>
      </c>
      <c r="B192" s="3">
        <v>45717</v>
      </c>
      <c r="C192" t="s">
        <v>15</v>
      </c>
      <c r="D192" t="s">
        <v>18</v>
      </c>
      <c r="E192">
        <v>37705.879999999997</v>
      </c>
      <c r="F192">
        <v>1268</v>
      </c>
      <c r="G192">
        <v>0.25900000000000001</v>
      </c>
      <c r="H192">
        <v>9</v>
      </c>
      <c r="I192">
        <v>84.1</v>
      </c>
      <c r="J192">
        <v>4.7699999999999996</v>
      </c>
      <c r="K192">
        <v>0</v>
      </c>
      <c r="L192">
        <v>3.8</v>
      </c>
      <c r="M192">
        <v>443275.59</v>
      </c>
      <c r="N192">
        <v>53544.36</v>
      </c>
    </row>
    <row r="193" spans="1:14">
      <c r="A193" t="s">
        <v>69</v>
      </c>
      <c r="B193" s="3">
        <v>45748</v>
      </c>
      <c r="C193" t="s">
        <v>15</v>
      </c>
      <c r="D193" t="s">
        <v>18</v>
      </c>
      <c r="E193">
        <v>54966.18</v>
      </c>
      <c r="F193">
        <v>4423</v>
      </c>
      <c r="G193">
        <v>0.186</v>
      </c>
      <c r="H193">
        <v>13</v>
      </c>
      <c r="I193">
        <v>88.7</v>
      </c>
      <c r="J193">
        <v>0.2</v>
      </c>
      <c r="K193">
        <v>0</v>
      </c>
      <c r="L193">
        <v>4.4000000000000004</v>
      </c>
      <c r="M193">
        <v>554012.06999999995</v>
      </c>
      <c r="N193">
        <v>81101.62</v>
      </c>
    </row>
    <row r="194" spans="1:14">
      <c r="A194" t="s">
        <v>70</v>
      </c>
      <c r="B194" s="3">
        <v>45658</v>
      </c>
      <c r="C194" t="s">
        <v>27</v>
      </c>
      <c r="D194" t="s">
        <v>16</v>
      </c>
      <c r="E194">
        <v>81796.740000000005</v>
      </c>
      <c r="F194">
        <v>6177</v>
      </c>
      <c r="G194">
        <v>0.16400000000000001</v>
      </c>
      <c r="H194">
        <v>14</v>
      </c>
      <c r="I194">
        <v>87.9</v>
      </c>
      <c r="J194">
        <v>0.53</v>
      </c>
      <c r="K194">
        <v>0</v>
      </c>
      <c r="L194">
        <v>3.2</v>
      </c>
      <c r="M194">
        <v>643428.85</v>
      </c>
      <c r="N194">
        <v>94477.63</v>
      </c>
    </row>
    <row r="195" spans="1:14">
      <c r="A195" t="s">
        <v>70</v>
      </c>
      <c r="B195" s="3">
        <v>45689</v>
      </c>
      <c r="C195" t="s">
        <v>27</v>
      </c>
      <c r="D195" t="s">
        <v>16</v>
      </c>
      <c r="E195">
        <v>51133.43</v>
      </c>
      <c r="F195">
        <v>5150</v>
      </c>
      <c r="G195">
        <v>0.15</v>
      </c>
      <c r="H195">
        <v>12</v>
      </c>
      <c r="I195">
        <v>88.5</v>
      </c>
      <c r="J195">
        <v>1.54</v>
      </c>
      <c r="K195">
        <v>0</v>
      </c>
      <c r="L195">
        <v>3.2</v>
      </c>
      <c r="M195">
        <v>611924.27</v>
      </c>
      <c r="N195">
        <v>115488.75</v>
      </c>
    </row>
    <row r="196" spans="1:14">
      <c r="A196" t="s">
        <v>70</v>
      </c>
      <c r="B196" s="3">
        <v>45717</v>
      </c>
      <c r="C196" t="s">
        <v>27</v>
      </c>
      <c r="D196" t="s">
        <v>16</v>
      </c>
      <c r="E196">
        <v>40220.18</v>
      </c>
      <c r="F196">
        <v>3783</v>
      </c>
      <c r="G196">
        <v>8.8999999999999996E-2</v>
      </c>
      <c r="H196">
        <v>14</v>
      </c>
      <c r="I196">
        <v>86.6</v>
      </c>
      <c r="J196">
        <v>3.63</v>
      </c>
      <c r="K196">
        <v>0</v>
      </c>
      <c r="L196">
        <v>3.7</v>
      </c>
      <c r="M196">
        <v>559422.02</v>
      </c>
      <c r="N196">
        <v>73528.740000000005</v>
      </c>
    </row>
    <row r="197" spans="1:14">
      <c r="A197" t="s">
        <v>70</v>
      </c>
      <c r="B197" s="3">
        <v>45748</v>
      </c>
      <c r="C197" t="s">
        <v>27</v>
      </c>
      <c r="D197" t="s">
        <v>16</v>
      </c>
      <c r="E197">
        <v>41657.64</v>
      </c>
      <c r="F197">
        <v>3135</v>
      </c>
      <c r="G197">
        <v>0.22900000000000001</v>
      </c>
      <c r="H197">
        <v>7</v>
      </c>
      <c r="I197">
        <v>85.4</v>
      </c>
      <c r="J197">
        <v>13.48</v>
      </c>
      <c r="K197">
        <v>0</v>
      </c>
      <c r="M197">
        <v>449465.06</v>
      </c>
      <c r="N197">
        <v>65694.78</v>
      </c>
    </row>
    <row r="198" spans="1:14">
      <c r="A198" t="s">
        <v>71</v>
      </c>
      <c r="B198" s="3">
        <v>45658</v>
      </c>
      <c r="C198" t="s">
        <v>20</v>
      </c>
      <c r="D198" t="s">
        <v>16</v>
      </c>
      <c r="E198">
        <v>71851.45</v>
      </c>
      <c r="F198">
        <v>4970</v>
      </c>
      <c r="G198">
        <v>9.8000000000000004E-2</v>
      </c>
      <c r="H198">
        <v>11</v>
      </c>
      <c r="I198">
        <v>89.6</v>
      </c>
      <c r="J198">
        <v>0.2</v>
      </c>
      <c r="K198">
        <v>0</v>
      </c>
      <c r="L198">
        <v>4.2</v>
      </c>
      <c r="M198">
        <v>691447.43</v>
      </c>
      <c r="N198">
        <v>114077.69</v>
      </c>
    </row>
    <row r="199" spans="1:14">
      <c r="A199" t="s">
        <v>71</v>
      </c>
      <c r="B199" s="3">
        <v>45689</v>
      </c>
      <c r="C199" t="s">
        <v>20</v>
      </c>
      <c r="D199" t="s">
        <v>16</v>
      </c>
      <c r="E199">
        <v>54002.83</v>
      </c>
      <c r="F199">
        <v>4366</v>
      </c>
      <c r="G199">
        <v>2.7E-2</v>
      </c>
      <c r="H199">
        <v>15</v>
      </c>
      <c r="I199">
        <v>90.6</v>
      </c>
      <c r="J199">
        <v>12.82</v>
      </c>
      <c r="K199">
        <v>0</v>
      </c>
      <c r="L199">
        <v>4.5999999999999996</v>
      </c>
      <c r="M199">
        <v>574066.61</v>
      </c>
      <c r="N199">
        <v>124674.67</v>
      </c>
    </row>
    <row r="200" spans="1:14">
      <c r="A200" t="s">
        <v>71</v>
      </c>
      <c r="B200" s="3">
        <v>45717</v>
      </c>
      <c r="C200" t="s">
        <v>20</v>
      </c>
      <c r="D200" t="s">
        <v>16</v>
      </c>
      <c r="E200">
        <v>54479.33</v>
      </c>
      <c r="F200">
        <v>5012</v>
      </c>
      <c r="G200">
        <v>0.28399999999999997</v>
      </c>
      <c r="H200">
        <v>13</v>
      </c>
      <c r="I200">
        <v>86</v>
      </c>
      <c r="J200">
        <v>2.2400000000000002</v>
      </c>
      <c r="K200">
        <v>1</v>
      </c>
      <c r="L200">
        <v>4.3</v>
      </c>
      <c r="M200">
        <v>578949.84</v>
      </c>
      <c r="N200">
        <v>80253.649999999994</v>
      </c>
    </row>
    <row r="201" spans="1:14">
      <c r="A201" t="s">
        <v>71</v>
      </c>
      <c r="B201" s="3">
        <v>45748</v>
      </c>
      <c r="C201" t="s">
        <v>20</v>
      </c>
      <c r="D201" t="s">
        <v>16</v>
      </c>
      <c r="E201">
        <v>61391.8</v>
      </c>
      <c r="F201">
        <v>5575</v>
      </c>
      <c r="G201">
        <v>0.189</v>
      </c>
      <c r="H201">
        <v>18</v>
      </c>
      <c r="I201">
        <v>90</v>
      </c>
      <c r="J201">
        <v>1.8</v>
      </c>
      <c r="K201">
        <v>0</v>
      </c>
      <c r="L201">
        <v>4.8</v>
      </c>
      <c r="M201">
        <v>735786.64</v>
      </c>
      <c r="N201">
        <v>126540.66</v>
      </c>
    </row>
    <row r="202" spans="1:14">
      <c r="A202" t="s">
        <v>72</v>
      </c>
      <c r="B202" s="3">
        <v>45658</v>
      </c>
      <c r="C202" t="s">
        <v>15</v>
      </c>
      <c r="D202" t="s">
        <v>21</v>
      </c>
      <c r="E202">
        <v>22312.93</v>
      </c>
      <c r="F202">
        <v>5955</v>
      </c>
      <c r="G202">
        <v>0.123</v>
      </c>
      <c r="H202">
        <v>13</v>
      </c>
      <c r="I202">
        <v>84.2</v>
      </c>
      <c r="J202">
        <v>0.41</v>
      </c>
      <c r="K202">
        <v>1</v>
      </c>
      <c r="L202">
        <v>4.5999999999999996</v>
      </c>
      <c r="M202">
        <v>598904.9</v>
      </c>
      <c r="N202">
        <v>72861</v>
      </c>
    </row>
    <row r="203" spans="1:14">
      <c r="A203" t="s">
        <v>72</v>
      </c>
      <c r="B203" s="3">
        <v>45689</v>
      </c>
      <c r="C203" t="s">
        <v>15</v>
      </c>
      <c r="D203" t="s">
        <v>21</v>
      </c>
      <c r="E203">
        <v>78111.97</v>
      </c>
      <c r="F203">
        <v>6389</v>
      </c>
      <c r="G203">
        <v>0.15</v>
      </c>
      <c r="H203">
        <v>13</v>
      </c>
      <c r="I203">
        <v>83.9</v>
      </c>
      <c r="J203">
        <v>3.05</v>
      </c>
      <c r="K203">
        <v>0</v>
      </c>
      <c r="L203">
        <v>4.8</v>
      </c>
      <c r="M203">
        <v>787715.51</v>
      </c>
      <c r="N203">
        <v>128969.62</v>
      </c>
    </row>
    <row r="204" spans="1:14">
      <c r="A204" t="s">
        <v>72</v>
      </c>
      <c r="B204" s="3">
        <v>45717</v>
      </c>
      <c r="C204" t="s">
        <v>15</v>
      </c>
      <c r="D204" t="s">
        <v>21</v>
      </c>
      <c r="E204">
        <v>35203.230000000003</v>
      </c>
      <c r="F204">
        <v>6896</v>
      </c>
      <c r="G204">
        <v>3.2000000000000001E-2</v>
      </c>
      <c r="H204">
        <v>14</v>
      </c>
      <c r="I204">
        <v>80.8</v>
      </c>
      <c r="J204">
        <v>8.44</v>
      </c>
      <c r="K204">
        <v>1</v>
      </c>
      <c r="L204">
        <v>5</v>
      </c>
      <c r="M204">
        <v>607084.92000000004</v>
      </c>
      <c r="N204">
        <v>98558.49</v>
      </c>
    </row>
    <row r="205" spans="1:14">
      <c r="A205" t="s">
        <v>72</v>
      </c>
      <c r="B205" s="3">
        <v>45748</v>
      </c>
      <c r="C205" t="s">
        <v>15</v>
      </c>
      <c r="D205" t="s">
        <v>21</v>
      </c>
      <c r="E205">
        <v>64104.28</v>
      </c>
      <c r="F205">
        <v>6015</v>
      </c>
      <c r="G205">
        <v>0.127</v>
      </c>
      <c r="H205">
        <v>15</v>
      </c>
      <c r="I205">
        <v>88.7</v>
      </c>
      <c r="J205">
        <v>0.78</v>
      </c>
      <c r="K205">
        <v>0</v>
      </c>
      <c r="L205">
        <v>4</v>
      </c>
      <c r="M205">
        <v>650795.49</v>
      </c>
      <c r="N205">
        <v>103035.89</v>
      </c>
    </row>
    <row r="206" spans="1:14">
      <c r="A206" t="s">
        <v>73</v>
      </c>
      <c r="B206" s="3">
        <v>45658</v>
      </c>
      <c r="C206" t="s">
        <v>15</v>
      </c>
      <c r="D206" t="s">
        <v>28</v>
      </c>
      <c r="E206">
        <v>92090.14</v>
      </c>
      <c r="F206">
        <v>9476</v>
      </c>
      <c r="G206">
        <v>7.0000000000000007E-2</v>
      </c>
      <c r="H206">
        <v>24</v>
      </c>
      <c r="I206">
        <v>94.3</v>
      </c>
      <c r="J206">
        <v>0.87</v>
      </c>
      <c r="K206">
        <v>0</v>
      </c>
      <c r="L206">
        <v>3.7</v>
      </c>
      <c r="M206">
        <v>825060.52</v>
      </c>
      <c r="N206">
        <v>143613.15</v>
      </c>
    </row>
    <row r="207" spans="1:14">
      <c r="A207" t="s">
        <v>73</v>
      </c>
      <c r="B207" s="3">
        <v>45689</v>
      </c>
      <c r="C207" t="s">
        <v>15</v>
      </c>
      <c r="D207" t="s">
        <v>28</v>
      </c>
      <c r="E207">
        <v>54300.87</v>
      </c>
      <c r="F207">
        <v>7875</v>
      </c>
      <c r="G207">
        <v>0.107</v>
      </c>
      <c r="H207">
        <v>19</v>
      </c>
      <c r="I207">
        <v>94.1</v>
      </c>
      <c r="J207">
        <v>0.95</v>
      </c>
      <c r="K207">
        <v>0</v>
      </c>
      <c r="L207">
        <v>3.7</v>
      </c>
      <c r="M207">
        <v>795464.47</v>
      </c>
      <c r="N207">
        <v>161150.51999999999</v>
      </c>
    </row>
    <row r="208" spans="1:14">
      <c r="A208" t="s">
        <v>73</v>
      </c>
      <c r="B208" s="3">
        <v>45717</v>
      </c>
      <c r="C208" t="s">
        <v>15</v>
      </c>
      <c r="D208" t="s">
        <v>28</v>
      </c>
      <c r="E208">
        <v>37983.35</v>
      </c>
      <c r="F208">
        <v>9283</v>
      </c>
      <c r="G208">
        <v>0.14899999999999999</v>
      </c>
      <c r="H208">
        <v>19</v>
      </c>
      <c r="I208">
        <v>83.2</v>
      </c>
      <c r="J208">
        <v>3.82</v>
      </c>
      <c r="K208">
        <v>0</v>
      </c>
      <c r="L208">
        <v>3.7</v>
      </c>
      <c r="M208">
        <v>671868.59</v>
      </c>
      <c r="N208">
        <v>71003.28</v>
      </c>
    </row>
    <row r="209" spans="1:14">
      <c r="A209" t="s">
        <v>73</v>
      </c>
      <c r="B209" s="3">
        <v>45748</v>
      </c>
      <c r="C209" t="s">
        <v>15</v>
      </c>
      <c r="D209" t="s">
        <v>28</v>
      </c>
      <c r="E209">
        <v>56413.83</v>
      </c>
      <c r="F209">
        <v>8303</v>
      </c>
      <c r="G209">
        <v>0.11600000000000001</v>
      </c>
      <c r="H209">
        <v>18</v>
      </c>
      <c r="I209">
        <v>93.6</v>
      </c>
      <c r="J209">
        <v>2.7</v>
      </c>
      <c r="K209">
        <v>0</v>
      </c>
      <c r="L209">
        <v>3.7</v>
      </c>
      <c r="M209">
        <v>675917.63</v>
      </c>
      <c r="N209">
        <v>112564.75</v>
      </c>
    </row>
    <row r="210" spans="1:14">
      <c r="A210" t="s">
        <v>74</v>
      </c>
      <c r="B210" s="3">
        <v>45658</v>
      </c>
      <c r="C210" t="s">
        <v>15</v>
      </c>
      <c r="D210" t="s">
        <v>18</v>
      </c>
      <c r="E210">
        <v>63457.19</v>
      </c>
      <c r="F210">
        <v>10125</v>
      </c>
      <c r="G210">
        <v>9.7000000000000003E-2</v>
      </c>
      <c r="H210">
        <v>24</v>
      </c>
      <c r="I210">
        <v>87</v>
      </c>
      <c r="J210">
        <v>3.84</v>
      </c>
      <c r="K210">
        <v>1</v>
      </c>
      <c r="L210">
        <v>3.7</v>
      </c>
      <c r="M210">
        <v>810446.53</v>
      </c>
      <c r="N210">
        <v>200575.34</v>
      </c>
    </row>
    <row r="211" spans="1:14">
      <c r="A211" t="s">
        <v>74</v>
      </c>
      <c r="B211" s="3">
        <v>45689</v>
      </c>
      <c r="C211" t="s">
        <v>15</v>
      </c>
      <c r="D211" t="s">
        <v>18</v>
      </c>
      <c r="E211">
        <v>62949.7</v>
      </c>
      <c r="F211">
        <v>9458</v>
      </c>
      <c r="G211">
        <v>0.17100000000000001</v>
      </c>
      <c r="H211">
        <v>19</v>
      </c>
      <c r="I211">
        <v>84.9</v>
      </c>
      <c r="J211">
        <v>5.09</v>
      </c>
      <c r="K211">
        <v>0</v>
      </c>
      <c r="L211">
        <v>3.3</v>
      </c>
      <c r="M211">
        <v>691288.19</v>
      </c>
      <c r="N211">
        <v>159074.14000000001</v>
      </c>
    </row>
    <row r="212" spans="1:14">
      <c r="A212" t="s">
        <v>74</v>
      </c>
      <c r="B212" s="3">
        <v>45717</v>
      </c>
      <c r="C212" t="s">
        <v>15</v>
      </c>
      <c r="D212" t="s">
        <v>18</v>
      </c>
      <c r="E212">
        <v>107970.19</v>
      </c>
      <c r="F212">
        <v>12870</v>
      </c>
      <c r="G212">
        <v>2.9000000000000001E-2</v>
      </c>
      <c r="H212">
        <v>31</v>
      </c>
      <c r="I212">
        <v>91.7</v>
      </c>
      <c r="J212">
        <v>3.82</v>
      </c>
      <c r="K212">
        <v>1</v>
      </c>
      <c r="L212">
        <v>3.7</v>
      </c>
      <c r="M212">
        <v>946833.54</v>
      </c>
      <c r="N212">
        <v>184540.31</v>
      </c>
    </row>
    <row r="213" spans="1:14">
      <c r="A213" t="s">
        <v>74</v>
      </c>
      <c r="B213" s="3">
        <v>45748</v>
      </c>
      <c r="C213" t="s">
        <v>15</v>
      </c>
      <c r="D213" t="s">
        <v>18</v>
      </c>
      <c r="E213">
        <v>49405.75</v>
      </c>
      <c r="F213">
        <v>9752</v>
      </c>
      <c r="G213">
        <v>9.2999999999999999E-2</v>
      </c>
      <c r="H213">
        <v>21</v>
      </c>
      <c r="I213">
        <v>87</v>
      </c>
      <c r="J213">
        <v>12.28</v>
      </c>
      <c r="K213">
        <v>0</v>
      </c>
      <c r="L213">
        <v>4.0999999999999996</v>
      </c>
      <c r="M213">
        <v>761963.23</v>
      </c>
      <c r="N213">
        <v>150113.60999999999</v>
      </c>
    </row>
    <row r="214" spans="1:14">
      <c r="A214" t="s">
        <v>75</v>
      </c>
      <c r="B214" s="3">
        <v>45658</v>
      </c>
      <c r="C214" t="s">
        <v>27</v>
      </c>
      <c r="D214" t="s">
        <v>16</v>
      </c>
      <c r="E214">
        <v>50887.46</v>
      </c>
      <c r="F214">
        <v>9505</v>
      </c>
      <c r="G214">
        <v>9.0999999999999998E-2</v>
      </c>
      <c r="H214">
        <v>25</v>
      </c>
      <c r="I214">
        <v>89.7</v>
      </c>
      <c r="J214">
        <v>2.8</v>
      </c>
      <c r="K214">
        <v>0</v>
      </c>
      <c r="L214">
        <v>4.3</v>
      </c>
      <c r="M214">
        <v>812152.6</v>
      </c>
      <c r="N214">
        <v>138419.43</v>
      </c>
    </row>
    <row r="215" spans="1:14">
      <c r="A215" t="s">
        <v>75</v>
      </c>
      <c r="B215" s="3">
        <v>45689</v>
      </c>
      <c r="C215" t="s">
        <v>27</v>
      </c>
      <c r="D215" t="s">
        <v>16</v>
      </c>
      <c r="E215">
        <v>41819.449999999997</v>
      </c>
      <c r="F215">
        <v>9412</v>
      </c>
      <c r="G215">
        <v>0.15</v>
      </c>
      <c r="H215">
        <v>22</v>
      </c>
      <c r="I215">
        <v>91</v>
      </c>
      <c r="J215">
        <v>3.67</v>
      </c>
      <c r="K215">
        <v>0</v>
      </c>
      <c r="L215">
        <v>4.2</v>
      </c>
      <c r="M215">
        <v>804975.5</v>
      </c>
      <c r="N215">
        <v>140054.5</v>
      </c>
    </row>
    <row r="216" spans="1:14">
      <c r="A216" t="s">
        <v>75</v>
      </c>
      <c r="B216" s="3">
        <v>45717</v>
      </c>
      <c r="C216" t="s">
        <v>27</v>
      </c>
      <c r="D216" t="s">
        <v>16</v>
      </c>
      <c r="E216">
        <v>35296.54</v>
      </c>
      <c r="F216">
        <v>9644</v>
      </c>
      <c r="G216">
        <v>0</v>
      </c>
      <c r="H216">
        <v>22</v>
      </c>
      <c r="I216">
        <v>88</v>
      </c>
      <c r="J216">
        <v>2.81</v>
      </c>
      <c r="K216">
        <v>0</v>
      </c>
      <c r="L216">
        <v>4.7</v>
      </c>
      <c r="M216">
        <v>752321.72</v>
      </c>
      <c r="N216">
        <v>137788.51</v>
      </c>
    </row>
    <row r="217" spans="1:14">
      <c r="A217" t="s">
        <v>75</v>
      </c>
      <c r="B217" s="3">
        <v>45748</v>
      </c>
      <c r="C217" t="s">
        <v>27</v>
      </c>
      <c r="D217" t="s">
        <v>16</v>
      </c>
      <c r="E217">
        <v>47391.09</v>
      </c>
      <c r="F217">
        <v>11224</v>
      </c>
      <c r="G217">
        <v>0.14699999999999999</v>
      </c>
      <c r="H217">
        <v>25</v>
      </c>
      <c r="I217">
        <v>88.4</v>
      </c>
      <c r="J217">
        <v>2.44</v>
      </c>
      <c r="K217">
        <v>0</v>
      </c>
      <c r="L217">
        <v>4.9000000000000004</v>
      </c>
      <c r="M217">
        <v>836908.24</v>
      </c>
      <c r="N217">
        <v>141090.26</v>
      </c>
    </row>
    <row r="218" spans="1:14">
      <c r="A218" t="s">
        <v>76</v>
      </c>
      <c r="B218" s="3">
        <v>45658</v>
      </c>
      <c r="C218" t="s">
        <v>20</v>
      </c>
      <c r="D218" t="s">
        <v>21</v>
      </c>
      <c r="E218">
        <v>69180.539999999994</v>
      </c>
      <c r="F218">
        <v>5394</v>
      </c>
      <c r="G218">
        <v>0.126</v>
      </c>
      <c r="H218">
        <v>12</v>
      </c>
      <c r="I218">
        <v>82.9</v>
      </c>
      <c r="J218">
        <v>3.27</v>
      </c>
      <c r="K218">
        <v>0</v>
      </c>
      <c r="L218">
        <v>3.3</v>
      </c>
      <c r="M218">
        <v>674289.1</v>
      </c>
      <c r="N218">
        <v>117773.79</v>
      </c>
    </row>
    <row r="219" spans="1:14">
      <c r="A219" t="s">
        <v>76</v>
      </c>
      <c r="B219" s="3">
        <v>45689</v>
      </c>
      <c r="C219" t="s">
        <v>20</v>
      </c>
      <c r="D219" t="s">
        <v>21</v>
      </c>
      <c r="E219">
        <v>33987.33</v>
      </c>
      <c r="F219">
        <v>5014</v>
      </c>
      <c r="G219">
        <v>0.246</v>
      </c>
      <c r="H219">
        <v>17</v>
      </c>
      <c r="I219">
        <v>94.3</v>
      </c>
      <c r="J219">
        <v>10.34</v>
      </c>
      <c r="K219">
        <v>0</v>
      </c>
      <c r="L219">
        <v>3.9</v>
      </c>
      <c r="M219">
        <v>622892.42000000004</v>
      </c>
      <c r="N219">
        <v>101032.52</v>
      </c>
    </row>
    <row r="220" spans="1:14">
      <c r="A220" t="s">
        <v>76</v>
      </c>
      <c r="B220" s="3">
        <v>45717</v>
      </c>
      <c r="C220" t="s">
        <v>20</v>
      </c>
      <c r="D220" t="s">
        <v>21</v>
      </c>
      <c r="E220">
        <v>58785.33</v>
      </c>
      <c r="F220">
        <v>4467</v>
      </c>
      <c r="G220">
        <v>0.22900000000000001</v>
      </c>
      <c r="H220">
        <v>14</v>
      </c>
      <c r="I220">
        <v>90.7</v>
      </c>
      <c r="J220">
        <v>1.92</v>
      </c>
      <c r="K220">
        <v>0</v>
      </c>
      <c r="L220">
        <v>3.7</v>
      </c>
      <c r="M220">
        <v>673348.56</v>
      </c>
      <c r="N220">
        <v>69464.59</v>
      </c>
    </row>
    <row r="221" spans="1:14">
      <c r="A221" t="s">
        <v>76</v>
      </c>
      <c r="B221" s="3">
        <v>45748</v>
      </c>
      <c r="C221" t="s">
        <v>20</v>
      </c>
      <c r="D221" t="s">
        <v>21</v>
      </c>
      <c r="E221">
        <v>16451.849999999999</v>
      </c>
      <c r="F221">
        <v>4678</v>
      </c>
      <c r="G221">
        <v>0.13300000000000001</v>
      </c>
      <c r="H221">
        <v>11</v>
      </c>
      <c r="I221">
        <v>95.9</v>
      </c>
      <c r="J221">
        <v>3.1</v>
      </c>
      <c r="K221">
        <v>0</v>
      </c>
      <c r="L221">
        <v>3.9</v>
      </c>
      <c r="M221">
        <v>606278.30000000005</v>
      </c>
      <c r="N221">
        <v>102213.26</v>
      </c>
    </row>
    <row r="222" spans="1:14">
      <c r="A222" t="s">
        <v>77</v>
      </c>
      <c r="B222" s="3">
        <v>45658</v>
      </c>
      <c r="C222" t="s">
        <v>15</v>
      </c>
      <c r="D222" t="s">
        <v>18</v>
      </c>
      <c r="E222">
        <v>53367.73</v>
      </c>
      <c r="F222">
        <v>7291</v>
      </c>
      <c r="G222">
        <v>0.14599999999999999</v>
      </c>
      <c r="H222">
        <v>18</v>
      </c>
      <c r="I222">
        <v>90.6</v>
      </c>
      <c r="J222">
        <v>6.34</v>
      </c>
      <c r="K222">
        <v>1</v>
      </c>
      <c r="L222">
        <v>3.8</v>
      </c>
      <c r="M222">
        <v>712219.81</v>
      </c>
      <c r="N222">
        <v>85906.54</v>
      </c>
    </row>
    <row r="223" spans="1:14">
      <c r="A223" t="s">
        <v>77</v>
      </c>
      <c r="B223" s="3">
        <v>45689</v>
      </c>
      <c r="C223" t="s">
        <v>15</v>
      </c>
      <c r="D223" t="s">
        <v>18</v>
      </c>
      <c r="E223">
        <v>27194.639999999999</v>
      </c>
      <c r="F223">
        <v>7404</v>
      </c>
      <c r="G223">
        <v>8.7999999999999995E-2</v>
      </c>
      <c r="H223">
        <v>18</v>
      </c>
      <c r="I223">
        <v>90.2</v>
      </c>
      <c r="J223">
        <v>1.2</v>
      </c>
      <c r="K223">
        <v>0</v>
      </c>
      <c r="L223">
        <v>3.4</v>
      </c>
      <c r="M223">
        <v>672670.54</v>
      </c>
      <c r="N223">
        <v>132684.18</v>
      </c>
    </row>
    <row r="224" spans="1:14">
      <c r="A224" t="s">
        <v>77</v>
      </c>
      <c r="B224" s="3">
        <v>45717</v>
      </c>
      <c r="C224" t="s">
        <v>15</v>
      </c>
      <c r="D224" t="s">
        <v>18</v>
      </c>
      <c r="E224">
        <v>66962.740000000005</v>
      </c>
      <c r="F224">
        <v>7880</v>
      </c>
      <c r="G224">
        <v>0.11600000000000001</v>
      </c>
      <c r="H224">
        <v>19</v>
      </c>
      <c r="I224">
        <v>90.4</v>
      </c>
      <c r="J224">
        <v>4.5</v>
      </c>
      <c r="K224">
        <v>0</v>
      </c>
      <c r="L224">
        <v>3.3</v>
      </c>
      <c r="M224">
        <v>732667.92</v>
      </c>
      <c r="N224">
        <v>128654.46</v>
      </c>
    </row>
    <row r="225" spans="1:14">
      <c r="A225" t="s">
        <v>77</v>
      </c>
      <c r="B225" s="3">
        <v>45748</v>
      </c>
      <c r="C225" t="s">
        <v>15</v>
      </c>
      <c r="D225" t="s">
        <v>18</v>
      </c>
      <c r="E225">
        <v>73540.990000000005</v>
      </c>
      <c r="F225">
        <v>8773</v>
      </c>
      <c r="G225">
        <v>3.5000000000000003E-2</v>
      </c>
      <c r="H225">
        <v>21</v>
      </c>
      <c r="I225">
        <v>84.4</v>
      </c>
      <c r="J225">
        <v>6.68</v>
      </c>
      <c r="K225">
        <v>0</v>
      </c>
      <c r="L225">
        <v>3.6</v>
      </c>
      <c r="M225">
        <v>723531.4</v>
      </c>
      <c r="N225">
        <v>108794.85</v>
      </c>
    </row>
    <row r="226" spans="1:14">
      <c r="A226" t="s">
        <v>78</v>
      </c>
      <c r="B226" s="3">
        <v>45658</v>
      </c>
      <c r="C226" t="s">
        <v>15</v>
      </c>
      <c r="D226" t="s">
        <v>28</v>
      </c>
      <c r="E226">
        <v>68212.289999999994</v>
      </c>
      <c r="F226">
        <v>4713</v>
      </c>
      <c r="G226">
        <v>0.19800000000000001</v>
      </c>
      <c r="H226">
        <v>15</v>
      </c>
      <c r="I226">
        <v>82.6</v>
      </c>
      <c r="J226">
        <v>4.07</v>
      </c>
      <c r="K226">
        <v>1</v>
      </c>
      <c r="L226">
        <v>3</v>
      </c>
      <c r="M226">
        <v>641564.6</v>
      </c>
      <c r="N226">
        <v>90468.96</v>
      </c>
    </row>
    <row r="227" spans="1:14">
      <c r="A227" t="s">
        <v>78</v>
      </c>
      <c r="B227" s="3">
        <v>45689</v>
      </c>
      <c r="C227" t="s">
        <v>15</v>
      </c>
      <c r="D227" t="s">
        <v>28</v>
      </c>
      <c r="E227">
        <v>57225.98</v>
      </c>
      <c r="F227">
        <v>2842</v>
      </c>
      <c r="G227">
        <v>0.112</v>
      </c>
      <c r="H227">
        <v>10</v>
      </c>
      <c r="I227">
        <v>79.5</v>
      </c>
      <c r="J227">
        <v>5.45</v>
      </c>
      <c r="K227">
        <v>0</v>
      </c>
      <c r="L227">
        <v>3.4</v>
      </c>
      <c r="M227">
        <v>536545.49</v>
      </c>
      <c r="N227">
        <v>97917.45</v>
      </c>
    </row>
    <row r="228" spans="1:14">
      <c r="A228" t="s">
        <v>78</v>
      </c>
      <c r="B228" s="3">
        <v>45717</v>
      </c>
      <c r="C228" t="s">
        <v>15</v>
      </c>
      <c r="D228" t="s">
        <v>28</v>
      </c>
      <c r="E228">
        <v>42932.02</v>
      </c>
      <c r="F228">
        <v>3872</v>
      </c>
      <c r="G228">
        <v>0.17100000000000001</v>
      </c>
      <c r="H228">
        <v>12</v>
      </c>
      <c r="I228">
        <v>83.2</v>
      </c>
      <c r="J228">
        <v>15.58</v>
      </c>
      <c r="K228">
        <v>0</v>
      </c>
      <c r="L228">
        <v>3.3</v>
      </c>
      <c r="M228">
        <v>527681.56000000006</v>
      </c>
      <c r="N228">
        <v>63153.05</v>
      </c>
    </row>
    <row r="229" spans="1:14">
      <c r="A229" t="s">
        <v>78</v>
      </c>
      <c r="B229" s="3">
        <v>45748</v>
      </c>
      <c r="C229" t="s">
        <v>15</v>
      </c>
      <c r="D229" t="s">
        <v>28</v>
      </c>
      <c r="E229">
        <v>39341.449999999997</v>
      </c>
      <c r="F229">
        <v>1375</v>
      </c>
      <c r="G229">
        <v>9.2999999999999999E-2</v>
      </c>
      <c r="H229">
        <v>5</v>
      </c>
      <c r="I229">
        <v>95</v>
      </c>
      <c r="J229">
        <v>5.32</v>
      </c>
      <c r="K229">
        <v>0</v>
      </c>
      <c r="M229">
        <v>529598.93999999994</v>
      </c>
      <c r="N229">
        <v>84334.33</v>
      </c>
    </row>
    <row r="230" spans="1:14">
      <c r="A230" t="s">
        <v>79</v>
      </c>
      <c r="B230" s="3">
        <v>45658</v>
      </c>
      <c r="C230" t="s">
        <v>15</v>
      </c>
      <c r="D230" t="s">
        <v>18</v>
      </c>
      <c r="E230">
        <v>37324.230000000003</v>
      </c>
      <c r="F230">
        <v>5957</v>
      </c>
      <c r="G230">
        <v>7.0999999999999994E-2</v>
      </c>
      <c r="H230">
        <v>12</v>
      </c>
      <c r="I230">
        <v>85.9</v>
      </c>
      <c r="J230">
        <v>0.37</v>
      </c>
      <c r="K230">
        <v>0</v>
      </c>
      <c r="L230">
        <v>3.8</v>
      </c>
      <c r="M230">
        <v>570963.31000000006</v>
      </c>
      <c r="N230">
        <v>87342.25</v>
      </c>
    </row>
    <row r="231" spans="1:14">
      <c r="A231" t="s">
        <v>79</v>
      </c>
      <c r="B231" s="3">
        <v>45689</v>
      </c>
      <c r="C231" t="s">
        <v>15</v>
      </c>
      <c r="D231" t="s">
        <v>18</v>
      </c>
      <c r="E231">
        <v>113736</v>
      </c>
      <c r="F231">
        <v>8961</v>
      </c>
      <c r="G231">
        <v>0.20200000000000001</v>
      </c>
      <c r="H231">
        <v>24</v>
      </c>
      <c r="I231">
        <v>86.2</v>
      </c>
      <c r="J231">
        <v>21.63</v>
      </c>
      <c r="K231">
        <v>0</v>
      </c>
      <c r="L231">
        <v>4</v>
      </c>
      <c r="M231">
        <v>870937.4</v>
      </c>
      <c r="N231">
        <v>175282.74</v>
      </c>
    </row>
    <row r="232" spans="1:14">
      <c r="A232" t="s">
        <v>79</v>
      </c>
      <c r="B232" s="3">
        <v>45717</v>
      </c>
      <c r="C232" t="s">
        <v>15</v>
      </c>
      <c r="D232" t="s">
        <v>18</v>
      </c>
      <c r="E232">
        <v>33173.949999999997</v>
      </c>
      <c r="F232">
        <v>6545</v>
      </c>
      <c r="G232">
        <v>0.16900000000000001</v>
      </c>
      <c r="H232">
        <v>15</v>
      </c>
      <c r="I232">
        <v>84.4</v>
      </c>
      <c r="J232">
        <v>2.48</v>
      </c>
      <c r="K232">
        <v>0</v>
      </c>
      <c r="L232">
        <v>3.9</v>
      </c>
      <c r="M232">
        <v>596969.27</v>
      </c>
      <c r="N232">
        <v>105669.51</v>
      </c>
    </row>
    <row r="233" spans="1:14">
      <c r="A233" t="s">
        <v>79</v>
      </c>
      <c r="B233" s="3">
        <v>45748</v>
      </c>
      <c r="C233" t="s">
        <v>15</v>
      </c>
      <c r="D233" t="s">
        <v>18</v>
      </c>
      <c r="E233">
        <v>25818.080000000002</v>
      </c>
      <c r="F233">
        <v>5457</v>
      </c>
      <c r="G233">
        <v>0</v>
      </c>
      <c r="H233">
        <v>11</v>
      </c>
      <c r="I233">
        <v>95.4</v>
      </c>
      <c r="K233">
        <v>0</v>
      </c>
      <c r="L233">
        <v>3.7</v>
      </c>
      <c r="M233">
        <v>647512.85</v>
      </c>
      <c r="N233">
        <v>153835.57</v>
      </c>
    </row>
    <row r="234" spans="1:14">
      <c r="A234" t="s">
        <v>80</v>
      </c>
      <c r="B234" s="3">
        <v>45658</v>
      </c>
      <c r="C234" t="s">
        <v>27</v>
      </c>
      <c r="D234" t="s">
        <v>16</v>
      </c>
      <c r="E234">
        <v>47241.919999999998</v>
      </c>
      <c r="F234">
        <v>4264</v>
      </c>
      <c r="G234">
        <v>6.9000000000000006E-2</v>
      </c>
      <c r="H234">
        <v>13</v>
      </c>
      <c r="I234">
        <v>95.3</v>
      </c>
      <c r="J234">
        <v>0.85</v>
      </c>
      <c r="K234">
        <v>0</v>
      </c>
      <c r="L234">
        <v>4.3</v>
      </c>
      <c r="M234">
        <v>658072.14</v>
      </c>
      <c r="N234">
        <v>110595.89</v>
      </c>
    </row>
    <row r="235" spans="1:14">
      <c r="A235" t="s">
        <v>80</v>
      </c>
      <c r="B235" s="3">
        <v>45689</v>
      </c>
      <c r="C235" t="s">
        <v>27</v>
      </c>
      <c r="D235" t="s">
        <v>16</v>
      </c>
      <c r="E235">
        <v>61650.79</v>
      </c>
      <c r="F235">
        <v>5321</v>
      </c>
      <c r="G235">
        <v>0.126</v>
      </c>
      <c r="H235">
        <v>17</v>
      </c>
      <c r="I235">
        <v>89.2</v>
      </c>
      <c r="J235">
        <v>2.13</v>
      </c>
      <c r="K235">
        <v>0</v>
      </c>
      <c r="L235">
        <v>4</v>
      </c>
      <c r="M235">
        <v>723305.11</v>
      </c>
      <c r="N235">
        <v>128468.7</v>
      </c>
    </row>
    <row r="236" spans="1:14">
      <c r="A236" t="s">
        <v>80</v>
      </c>
      <c r="B236" s="3">
        <v>45717</v>
      </c>
      <c r="C236" t="s">
        <v>27</v>
      </c>
      <c r="D236" t="s">
        <v>16</v>
      </c>
      <c r="E236">
        <v>62582.71</v>
      </c>
      <c r="F236">
        <v>5479</v>
      </c>
      <c r="G236">
        <v>4.8000000000000001E-2</v>
      </c>
      <c r="H236">
        <v>16</v>
      </c>
      <c r="I236">
        <v>81.2</v>
      </c>
      <c r="J236">
        <v>1.46</v>
      </c>
      <c r="K236">
        <v>0</v>
      </c>
      <c r="L236">
        <v>4.5</v>
      </c>
      <c r="M236">
        <v>640666.53</v>
      </c>
      <c r="N236">
        <v>134919.16</v>
      </c>
    </row>
    <row r="237" spans="1:14">
      <c r="A237" t="s">
        <v>80</v>
      </c>
      <c r="B237" s="3">
        <v>45748</v>
      </c>
      <c r="C237" t="s">
        <v>27</v>
      </c>
      <c r="D237" t="s">
        <v>16</v>
      </c>
      <c r="E237">
        <v>47944.14</v>
      </c>
      <c r="F237">
        <v>6169</v>
      </c>
      <c r="G237">
        <v>0.11899999999999999</v>
      </c>
      <c r="H237">
        <v>17</v>
      </c>
      <c r="I237">
        <v>92.2</v>
      </c>
      <c r="J237">
        <v>3.02</v>
      </c>
      <c r="K237">
        <v>0</v>
      </c>
      <c r="L237">
        <v>4.0999999999999996</v>
      </c>
      <c r="M237">
        <v>670629.48</v>
      </c>
      <c r="N237">
        <v>100140.8</v>
      </c>
    </row>
    <row r="238" spans="1:14">
      <c r="A238" t="s">
        <v>81</v>
      </c>
      <c r="B238" s="3">
        <v>45658</v>
      </c>
      <c r="C238" t="s">
        <v>27</v>
      </c>
      <c r="D238" t="s">
        <v>28</v>
      </c>
      <c r="E238">
        <v>46495.4</v>
      </c>
      <c r="F238">
        <v>9908</v>
      </c>
      <c r="G238">
        <v>0.121</v>
      </c>
      <c r="H238">
        <v>22</v>
      </c>
      <c r="I238">
        <v>89.4</v>
      </c>
      <c r="J238">
        <v>3.22</v>
      </c>
      <c r="K238">
        <v>0</v>
      </c>
      <c r="L238">
        <v>3.7</v>
      </c>
      <c r="M238">
        <v>721079.35</v>
      </c>
      <c r="N238">
        <v>115295.05</v>
      </c>
    </row>
    <row r="239" spans="1:14">
      <c r="A239" t="s">
        <v>81</v>
      </c>
      <c r="B239" s="3">
        <v>45689</v>
      </c>
      <c r="C239" t="s">
        <v>27</v>
      </c>
      <c r="D239" t="s">
        <v>28</v>
      </c>
      <c r="E239">
        <v>72961.95</v>
      </c>
      <c r="F239">
        <v>9996</v>
      </c>
      <c r="G239">
        <v>0.106</v>
      </c>
      <c r="H239">
        <v>22</v>
      </c>
      <c r="I239">
        <v>89.1</v>
      </c>
      <c r="J239">
        <v>15.66</v>
      </c>
      <c r="K239">
        <v>0</v>
      </c>
      <c r="L239">
        <v>3.4</v>
      </c>
      <c r="M239">
        <v>810355.02</v>
      </c>
      <c r="N239">
        <v>131510</v>
      </c>
    </row>
    <row r="240" spans="1:14">
      <c r="A240" t="s">
        <v>81</v>
      </c>
      <c r="B240" s="3">
        <v>45717</v>
      </c>
      <c r="C240" t="s">
        <v>27</v>
      </c>
      <c r="D240" t="s">
        <v>28</v>
      </c>
      <c r="E240">
        <v>59060.05</v>
      </c>
      <c r="F240">
        <v>9702</v>
      </c>
      <c r="G240">
        <v>0.20100000000000001</v>
      </c>
      <c r="H240">
        <v>23</v>
      </c>
      <c r="I240">
        <v>80.900000000000006</v>
      </c>
      <c r="J240">
        <v>6.96</v>
      </c>
      <c r="K240">
        <v>0</v>
      </c>
      <c r="L240">
        <v>3.2</v>
      </c>
      <c r="M240">
        <v>761919.25</v>
      </c>
      <c r="N240">
        <v>111893.06</v>
      </c>
    </row>
    <row r="241" spans="1:14">
      <c r="A241" t="s">
        <v>81</v>
      </c>
      <c r="B241" s="3">
        <v>45748</v>
      </c>
      <c r="C241" t="s">
        <v>27</v>
      </c>
      <c r="D241" t="s">
        <v>28</v>
      </c>
      <c r="E241">
        <v>26248.1</v>
      </c>
      <c r="F241">
        <v>9314</v>
      </c>
      <c r="G241">
        <v>0.186</v>
      </c>
      <c r="H241">
        <v>21</v>
      </c>
      <c r="I241">
        <v>83.7</v>
      </c>
      <c r="J241">
        <v>4.62</v>
      </c>
      <c r="K241">
        <v>0</v>
      </c>
      <c r="L241">
        <v>3.3</v>
      </c>
      <c r="M241">
        <v>737070.18</v>
      </c>
      <c r="N241">
        <v>117593.97</v>
      </c>
    </row>
    <row r="242" spans="1:14">
      <c r="A242" t="s">
        <v>82</v>
      </c>
      <c r="B242" s="3">
        <v>45658</v>
      </c>
      <c r="C242" t="s">
        <v>24</v>
      </c>
      <c r="D242" t="s">
        <v>21</v>
      </c>
      <c r="E242">
        <v>69900.12</v>
      </c>
      <c r="F242">
        <v>8055</v>
      </c>
      <c r="G242">
        <v>0.28100000000000003</v>
      </c>
      <c r="H242">
        <v>22</v>
      </c>
      <c r="I242">
        <v>85.6</v>
      </c>
      <c r="J242">
        <v>10.68</v>
      </c>
      <c r="K242">
        <v>1</v>
      </c>
      <c r="L242">
        <v>2.9</v>
      </c>
      <c r="M242">
        <v>776992.93</v>
      </c>
      <c r="N242">
        <v>101598.32</v>
      </c>
    </row>
    <row r="243" spans="1:14">
      <c r="A243" t="s">
        <v>82</v>
      </c>
      <c r="B243" s="3">
        <v>45689</v>
      </c>
      <c r="C243" t="s">
        <v>24</v>
      </c>
      <c r="D243" t="s">
        <v>21</v>
      </c>
      <c r="E243">
        <v>51781.599999999999</v>
      </c>
      <c r="F243">
        <v>5648</v>
      </c>
      <c r="G243">
        <v>5.8999999999999997E-2</v>
      </c>
      <c r="H243">
        <v>13</v>
      </c>
      <c r="I243">
        <v>85.5</v>
      </c>
      <c r="J243">
        <v>4.04</v>
      </c>
      <c r="K243">
        <v>0</v>
      </c>
      <c r="L243">
        <v>3.7</v>
      </c>
      <c r="M243">
        <v>676337.41</v>
      </c>
      <c r="N243">
        <v>104355.77</v>
      </c>
    </row>
    <row r="244" spans="1:14">
      <c r="A244" t="s">
        <v>82</v>
      </c>
      <c r="B244" s="3">
        <v>45717</v>
      </c>
      <c r="C244" t="s">
        <v>24</v>
      </c>
      <c r="D244" t="s">
        <v>21</v>
      </c>
      <c r="E244">
        <v>70799.64</v>
      </c>
      <c r="F244">
        <v>10076</v>
      </c>
      <c r="G244">
        <v>0.152</v>
      </c>
      <c r="H244">
        <v>24</v>
      </c>
      <c r="I244">
        <v>84.8</v>
      </c>
      <c r="J244">
        <v>1.87</v>
      </c>
      <c r="K244">
        <v>0</v>
      </c>
      <c r="L244">
        <v>3.5</v>
      </c>
      <c r="M244">
        <v>828219.67</v>
      </c>
      <c r="N244">
        <v>179806.87</v>
      </c>
    </row>
    <row r="245" spans="1:14">
      <c r="A245" t="s">
        <v>82</v>
      </c>
      <c r="B245" s="3">
        <v>45748</v>
      </c>
      <c r="C245" t="s">
        <v>24</v>
      </c>
      <c r="D245" t="s">
        <v>21</v>
      </c>
      <c r="E245">
        <v>53546.34</v>
      </c>
      <c r="F245">
        <v>8004</v>
      </c>
      <c r="G245">
        <v>0</v>
      </c>
      <c r="H245">
        <v>21</v>
      </c>
      <c r="I245">
        <v>95.2</v>
      </c>
      <c r="J245">
        <v>2.83</v>
      </c>
      <c r="K245">
        <v>0</v>
      </c>
      <c r="L245">
        <v>3</v>
      </c>
      <c r="M245">
        <v>763159.92</v>
      </c>
      <c r="N245">
        <v>177104.87</v>
      </c>
    </row>
    <row r="246" spans="1:14">
      <c r="A246" t="s">
        <v>83</v>
      </c>
      <c r="B246" s="3">
        <v>45658</v>
      </c>
      <c r="C246" t="s">
        <v>15</v>
      </c>
      <c r="D246" t="s">
        <v>18</v>
      </c>
      <c r="E246">
        <v>76942.2</v>
      </c>
      <c r="F246">
        <v>8934</v>
      </c>
      <c r="G246">
        <v>8.4000000000000005E-2</v>
      </c>
      <c r="H246">
        <v>20</v>
      </c>
      <c r="I246">
        <v>91</v>
      </c>
      <c r="J246">
        <v>0.95</v>
      </c>
      <c r="K246">
        <v>0</v>
      </c>
      <c r="L246">
        <v>3.2</v>
      </c>
      <c r="M246">
        <v>802001.68</v>
      </c>
      <c r="N246">
        <v>159715.82</v>
      </c>
    </row>
    <row r="247" spans="1:14">
      <c r="A247" t="s">
        <v>83</v>
      </c>
      <c r="B247" s="3">
        <v>45689</v>
      </c>
      <c r="C247" t="s">
        <v>15</v>
      </c>
      <c r="D247" t="s">
        <v>18</v>
      </c>
      <c r="E247">
        <v>48060.78</v>
      </c>
      <c r="F247">
        <v>8733</v>
      </c>
      <c r="G247">
        <v>0</v>
      </c>
      <c r="H247">
        <v>20</v>
      </c>
      <c r="I247">
        <v>89.9</v>
      </c>
      <c r="J247">
        <v>0.8</v>
      </c>
      <c r="K247">
        <v>0</v>
      </c>
      <c r="L247">
        <v>3.4</v>
      </c>
      <c r="M247">
        <v>750471.34</v>
      </c>
      <c r="N247">
        <v>133788.04</v>
      </c>
    </row>
    <row r="248" spans="1:14">
      <c r="A248" t="s">
        <v>83</v>
      </c>
      <c r="B248" s="3">
        <v>45717</v>
      </c>
      <c r="C248" t="s">
        <v>15</v>
      </c>
      <c r="D248" t="s">
        <v>18</v>
      </c>
      <c r="E248">
        <v>57390.04</v>
      </c>
      <c r="F248">
        <v>7374</v>
      </c>
      <c r="G248">
        <v>0.21</v>
      </c>
      <c r="H248">
        <v>21</v>
      </c>
      <c r="I248">
        <v>91.8</v>
      </c>
      <c r="J248">
        <v>0.2</v>
      </c>
      <c r="K248">
        <v>0</v>
      </c>
      <c r="L248">
        <v>3.1</v>
      </c>
      <c r="M248">
        <v>679230.86</v>
      </c>
      <c r="N248">
        <v>106927.58</v>
      </c>
    </row>
    <row r="249" spans="1:14">
      <c r="A249" t="s">
        <v>83</v>
      </c>
      <c r="B249" s="3">
        <v>45748</v>
      </c>
      <c r="C249" t="s">
        <v>15</v>
      </c>
      <c r="D249" t="s">
        <v>18</v>
      </c>
      <c r="E249">
        <v>21536.18</v>
      </c>
      <c r="F249">
        <v>8119</v>
      </c>
      <c r="G249">
        <v>0.22700000000000001</v>
      </c>
      <c r="H249">
        <v>20</v>
      </c>
      <c r="I249">
        <v>90.4</v>
      </c>
      <c r="J249">
        <v>1.7</v>
      </c>
      <c r="K249">
        <v>0</v>
      </c>
      <c r="L249">
        <v>3.3</v>
      </c>
      <c r="M249">
        <v>679888.74</v>
      </c>
      <c r="N249">
        <v>83406.89</v>
      </c>
    </row>
    <row r="250" spans="1:14">
      <c r="A250" t="s">
        <v>84</v>
      </c>
      <c r="B250" s="3">
        <v>45658</v>
      </c>
      <c r="C250" t="s">
        <v>20</v>
      </c>
      <c r="D250" t="s">
        <v>18</v>
      </c>
      <c r="E250">
        <v>40923.67</v>
      </c>
      <c r="F250">
        <v>3875</v>
      </c>
      <c r="G250">
        <v>0.15</v>
      </c>
      <c r="H250">
        <v>10</v>
      </c>
      <c r="I250">
        <v>96.1</v>
      </c>
      <c r="K250">
        <v>0</v>
      </c>
      <c r="L250">
        <v>3.8</v>
      </c>
      <c r="M250">
        <v>606783.67000000004</v>
      </c>
      <c r="N250">
        <v>74515.87</v>
      </c>
    </row>
    <row r="251" spans="1:14">
      <c r="A251" t="s">
        <v>84</v>
      </c>
      <c r="B251" s="3">
        <v>45689</v>
      </c>
      <c r="C251" t="s">
        <v>20</v>
      </c>
      <c r="D251" t="s">
        <v>18</v>
      </c>
      <c r="E251">
        <v>72932.55</v>
      </c>
      <c r="F251">
        <v>5765</v>
      </c>
      <c r="G251">
        <v>2.5999999999999999E-2</v>
      </c>
      <c r="H251">
        <v>17</v>
      </c>
      <c r="I251">
        <v>81.8</v>
      </c>
      <c r="J251">
        <v>5.0999999999999996</v>
      </c>
      <c r="K251">
        <v>0</v>
      </c>
      <c r="L251">
        <v>3.6</v>
      </c>
      <c r="M251">
        <v>642751.42000000004</v>
      </c>
      <c r="N251">
        <v>131942.15</v>
      </c>
    </row>
    <row r="252" spans="1:14">
      <c r="A252" t="s">
        <v>84</v>
      </c>
      <c r="B252" s="3">
        <v>45717</v>
      </c>
      <c r="C252" t="s">
        <v>20</v>
      </c>
      <c r="D252" t="s">
        <v>18</v>
      </c>
      <c r="E252">
        <v>38361.93</v>
      </c>
      <c r="F252">
        <v>6322</v>
      </c>
      <c r="G252">
        <v>0.27300000000000002</v>
      </c>
      <c r="H252">
        <v>15</v>
      </c>
      <c r="I252">
        <v>88.4</v>
      </c>
      <c r="J252">
        <v>0.83</v>
      </c>
      <c r="K252">
        <v>0</v>
      </c>
      <c r="L252">
        <v>4</v>
      </c>
      <c r="M252">
        <v>647953.78</v>
      </c>
      <c r="N252">
        <v>118497.43</v>
      </c>
    </row>
    <row r="253" spans="1:14">
      <c r="A253" t="s">
        <v>84</v>
      </c>
      <c r="B253" s="3">
        <v>45748</v>
      </c>
      <c r="C253" t="s">
        <v>20</v>
      </c>
      <c r="D253" t="s">
        <v>18</v>
      </c>
      <c r="E253">
        <v>97480.94</v>
      </c>
      <c r="F253">
        <v>6840</v>
      </c>
      <c r="G253">
        <v>8.6999999999999994E-2</v>
      </c>
      <c r="H253">
        <v>14</v>
      </c>
      <c r="I253">
        <v>79.2</v>
      </c>
      <c r="J253">
        <v>1.1399999999999999</v>
      </c>
      <c r="K253">
        <v>0</v>
      </c>
      <c r="L253">
        <v>4</v>
      </c>
      <c r="M253">
        <v>729440.45</v>
      </c>
      <c r="N253">
        <v>87614.29</v>
      </c>
    </row>
    <row r="254" spans="1:14">
      <c r="A254" t="s">
        <v>85</v>
      </c>
      <c r="B254" s="3">
        <v>45658</v>
      </c>
      <c r="C254" t="s">
        <v>24</v>
      </c>
      <c r="D254" t="s">
        <v>21</v>
      </c>
      <c r="E254">
        <v>81801.8</v>
      </c>
      <c r="F254">
        <v>6782</v>
      </c>
      <c r="G254">
        <v>0.05</v>
      </c>
      <c r="H254">
        <v>16</v>
      </c>
      <c r="I254">
        <v>99</v>
      </c>
      <c r="J254">
        <v>9.5399999999999991</v>
      </c>
      <c r="K254">
        <v>0</v>
      </c>
      <c r="L254">
        <v>3.7</v>
      </c>
      <c r="M254">
        <v>764949</v>
      </c>
      <c r="N254">
        <v>148322.43</v>
      </c>
    </row>
    <row r="255" spans="1:14">
      <c r="A255" t="s">
        <v>85</v>
      </c>
      <c r="B255" s="3">
        <v>45689</v>
      </c>
      <c r="C255" t="s">
        <v>24</v>
      </c>
      <c r="D255" t="s">
        <v>21</v>
      </c>
      <c r="E255">
        <v>63582.11</v>
      </c>
      <c r="F255">
        <v>6856</v>
      </c>
      <c r="G255">
        <v>7.3999999999999996E-2</v>
      </c>
      <c r="H255">
        <v>17</v>
      </c>
      <c r="I255">
        <v>89.5</v>
      </c>
      <c r="J255">
        <v>5.48</v>
      </c>
      <c r="K255">
        <v>0</v>
      </c>
      <c r="L255">
        <v>3.2</v>
      </c>
      <c r="M255">
        <v>799046.94</v>
      </c>
      <c r="N255">
        <v>144553.64000000001</v>
      </c>
    </row>
    <row r="256" spans="1:14">
      <c r="A256" t="s">
        <v>85</v>
      </c>
      <c r="B256" s="3">
        <v>45717</v>
      </c>
      <c r="C256" t="s">
        <v>24</v>
      </c>
      <c r="D256" t="s">
        <v>21</v>
      </c>
      <c r="E256">
        <v>75412.740000000005</v>
      </c>
      <c r="F256">
        <v>5641</v>
      </c>
      <c r="G256">
        <v>5.8999999999999997E-2</v>
      </c>
      <c r="H256">
        <v>13</v>
      </c>
      <c r="I256">
        <v>87.9</v>
      </c>
      <c r="J256">
        <v>0.84</v>
      </c>
      <c r="K256">
        <v>0</v>
      </c>
      <c r="L256">
        <v>3.6</v>
      </c>
      <c r="M256">
        <v>720079.54</v>
      </c>
      <c r="N256">
        <v>119499.47</v>
      </c>
    </row>
    <row r="257" spans="1:14">
      <c r="A257" t="s">
        <v>85</v>
      </c>
      <c r="B257" s="3">
        <v>45748</v>
      </c>
      <c r="C257" t="s">
        <v>24</v>
      </c>
      <c r="D257" t="s">
        <v>21</v>
      </c>
      <c r="E257">
        <v>36290.080000000002</v>
      </c>
      <c r="F257">
        <v>5787</v>
      </c>
      <c r="G257">
        <v>0</v>
      </c>
      <c r="H257">
        <v>17</v>
      </c>
      <c r="I257">
        <v>88.3</v>
      </c>
      <c r="J257">
        <v>4.1900000000000004</v>
      </c>
      <c r="K257">
        <v>0</v>
      </c>
      <c r="L257">
        <v>4.0999999999999996</v>
      </c>
      <c r="M257">
        <v>612390.14</v>
      </c>
      <c r="N257">
        <v>108985.74</v>
      </c>
    </row>
    <row r="258" spans="1:14">
      <c r="A258" t="s">
        <v>86</v>
      </c>
      <c r="B258" s="3">
        <v>45658</v>
      </c>
      <c r="C258" t="s">
        <v>24</v>
      </c>
      <c r="D258" t="s">
        <v>28</v>
      </c>
      <c r="E258">
        <v>65272.58</v>
      </c>
      <c r="F258">
        <v>8165</v>
      </c>
      <c r="G258">
        <v>5.0999999999999997E-2</v>
      </c>
      <c r="H258">
        <v>19</v>
      </c>
      <c r="I258">
        <v>87.8</v>
      </c>
      <c r="J258">
        <v>1.26</v>
      </c>
      <c r="K258">
        <v>1</v>
      </c>
      <c r="L258">
        <v>4.3</v>
      </c>
      <c r="M258">
        <v>840108.12</v>
      </c>
      <c r="N258">
        <v>126587.01</v>
      </c>
    </row>
    <row r="259" spans="1:14">
      <c r="A259" t="s">
        <v>86</v>
      </c>
      <c r="B259" s="3">
        <v>45689</v>
      </c>
      <c r="C259" t="s">
        <v>24</v>
      </c>
      <c r="D259" t="s">
        <v>28</v>
      </c>
      <c r="E259">
        <v>28670.43</v>
      </c>
      <c r="F259">
        <v>7574</v>
      </c>
      <c r="G259">
        <v>0.114</v>
      </c>
      <c r="H259">
        <v>19</v>
      </c>
      <c r="I259">
        <v>82.7</v>
      </c>
      <c r="J259">
        <v>2.74</v>
      </c>
      <c r="K259">
        <v>0</v>
      </c>
      <c r="L259">
        <v>4.5999999999999996</v>
      </c>
      <c r="M259">
        <v>697888.09</v>
      </c>
      <c r="N259">
        <v>116249.87</v>
      </c>
    </row>
    <row r="260" spans="1:14">
      <c r="A260" t="s">
        <v>86</v>
      </c>
      <c r="B260" s="3">
        <v>45717</v>
      </c>
      <c r="C260" t="s">
        <v>24</v>
      </c>
      <c r="D260" t="s">
        <v>28</v>
      </c>
      <c r="E260">
        <v>44189.34</v>
      </c>
      <c r="F260">
        <v>8634</v>
      </c>
      <c r="G260">
        <v>0.14299999999999999</v>
      </c>
      <c r="H260">
        <v>19</v>
      </c>
      <c r="I260">
        <v>87.5</v>
      </c>
      <c r="J260">
        <v>3.69</v>
      </c>
      <c r="K260">
        <v>0</v>
      </c>
      <c r="L260">
        <v>4.4000000000000004</v>
      </c>
      <c r="M260">
        <v>746115.59</v>
      </c>
      <c r="N260">
        <v>94662.96</v>
      </c>
    </row>
    <row r="261" spans="1:14">
      <c r="A261" t="s">
        <v>86</v>
      </c>
      <c r="B261" s="3">
        <v>45748</v>
      </c>
      <c r="C261" t="s">
        <v>24</v>
      </c>
      <c r="D261" t="s">
        <v>28</v>
      </c>
      <c r="E261">
        <v>38397.82</v>
      </c>
      <c r="F261">
        <v>7836</v>
      </c>
      <c r="G261">
        <v>7.0000000000000001E-3</v>
      </c>
      <c r="H261">
        <v>21</v>
      </c>
      <c r="I261">
        <v>92.2</v>
      </c>
      <c r="J261">
        <v>1.82</v>
      </c>
      <c r="K261">
        <v>0</v>
      </c>
      <c r="L261">
        <v>3.6</v>
      </c>
      <c r="M261">
        <v>776110.32</v>
      </c>
      <c r="N261">
        <v>139676.21</v>
      </c>
    </row>
    <row r="262" spans="1:14">
      <c r="A262" t="s">
        <v>87</v>
      </c>
      <c r="B262" s="3">
        <v>45658</v>
      </c>
      <c r="C262" t="s">
        <v>27</v>
      </c>
      <c r="D262" t="s">
        <v>18</v>
      </c>
      <c r="E262">
        <v>14519.37</v>
      </c>
      <c r="F262">
        <v>3047</v>
      </c>
      <c r="G262">
        <v>0.13500000000000001</v>
      </c>
      <c r="H262">
        <v>10</v>
      </c>
      <c r="I262">
        <v>90.3</v>
      </c>
      <c r="J262">
        <v>6.62</v>
      </c>
      <c r="K262">
        <v>0</v>
      </c>
      <c r="L262">
        <v>4.2</v>
      </c>
      <c r="M262">
        <v>528852.62</v>
      </c>
      <c r="N262">
        <v>68426.210000000006</v>
      </c>
    </row>
    <row r="263" spans="1:14">
      <c r="A263" t="s">
        <v>87</v>
      </c>
      <c r="B263" s="3">
        <v>45689</v>
      </c>
      <c r="C263" t="s">
        <v>27</v>
      </c>
      <c r="D263" t="s">
        <v>18</v>
      </c>
      <c r="E263">
        <v>43288.2</v>
      </c>
      <c r="F263">
        <v>4783</v>
      </c>
      <c r="G263">
        <v>0.16900000000000001</v>
      </c>
      <c r="H263">
        <v>13</v>
      </c>
      <c r="I263">
        <v>87.3</v>
      </c>
      <c r="K263">
        <v>0</v>
      </c>
      <c r="L263">
        <v>4.2</v>
      </c>
      <c r="M263">
        <v>605751.32999999996</v>
      </c>
      <c r="N263">
        <v>60685.53</v>
      </c>
    </row>
    <row r="264" spans="1:14">
      <c r="A264" t="s">
        <v>87</v>
      </c>
      <c r="B264" s="3">
        <v>45717</v>
      </c>
      <c r="C264" t="s">
        <v>27</v>
      </c>
      <c r="D264" t="s">
        <v>18</v>
      </c>
      <c r="E264">
        <v>51450.55</v>
      </c>
      <c r="F264">
        <v>4902</v>
      </c>
      <c r="G264">
        <v>8.5999999999999993E-2</v>
      </c>
      <c r="H264">
        <v>11</v>
      </c>
      <c r="I264">
        <v>83.7</v>
      </c>
      <c r="J264">
        <v>6.92</v>
      </c>
      <c r="K264">
        <v>1</v>
      </c>
      <c r="L264">
        <v>4.2</v>
      </c>
      <c r="M264">
        <v>677640.65</v>
      </c>
      <c r="N264">
        <v>111610.89</v>
      </c>
    </row>
    <row r="265" spans="1:14">
      <c r="A265" t="s">
        <v>87</v>
      </c>
      <c r="B265" s="3">
        <v>45748</v>
      </c>
      <c r="C265" t="s">
        <v>27</v>
      </c>
      <c r="D265" t="s">
        <v>18</v>
      </c>
      <c r="E265">
        <v>58688.26</v>
      </c>
      <c r="F265">
        <v>4022</v>
      </c>
      <c r="G265">
        <v>0.217</v>
      </c>
      <c r="H265">
        <v>12</v>
      </c>
      <c r="I265">
        <v>93.8</v>
      </c>
      <c r="J265">
        <v>11.78</v>
      </c>
      <c r="K265">
        <v>0</v>
      </c>
      <c r="L265">
        <v>3.7</v>
      </c>
      <c r="M265">
        <v>636613.23</v>
      </c>
      <c r="N265">
        <v>78908.350000000006</v>
      </c>
    </row>
    <row r="266" spans="1:14">
      <c r="A266" t="s">
        <v>88</v>
      </c>
      <c r="B266" s="3">
        <v>45658</v>
      </c>
      <c r="C266" t="s">
        <v>15</v>
      </c>
      <c r="D266" t="s">
        <v>18</v>
      </c>
      <c r="E266">
        <v>58981.91</v>
      </c>
      <c r="F266">
        <v>7324</v>
      </c>
      <c r="G266">
        <v>9.4E-2</v>
      </c>
      <c r="H266">
        <v>15</v>
      </c>
      <c r="I266">
        <v>95.8</v>
      </c>
      <c r="J266">
        <v>0.5</v>
      </c>
      <c r="K266">
        <v>0</v>
      </c>
      <c r="L266">
        <v>3.5</v>
      </c>
      <c r="M266">
        <v>708985.19</v>
      </c>
      <c r="N266">
        <v>125368.16</v>
      </c>
    </row>
    <row r="267" spans="1:14">
      <c r="A267" t="s">
        <v>88</v>
      </c>
      <c r="B267" s="3">
        <v>45689</v>
      </c>
      <c r="C267" t="s">
        <v>15</v>
      </c>
      <c r="D267" t="s">
        <v>18</v>
      </c>
      <c r="E267">
        <v>73454.539999999994</v>
      </c>
      <c r="F267">
        <v>8129</v>
      </c>
      <c r="G267">
        <v>0.21099999999999999</v>
      </c>
      <c r="H267">
        <v>20</v>
      </c>
      <c r="I267">
        <v>85.2</v>
      </c>
      <c r="J267">
        <v>0.88</v>
      </c>
      <c r="K267">
        <v>0</v>
      </c>
      <c r="L267">
        <v>3.7</v>
      </c>
      <c r="M267">
        <v>767792.94</v>
      </c>
      <c r="N267">
        <v>96235.77</v>
      </c>
    </row>
    <row r="268" spans="1:14">
      <c r="A268" t="s">
        <v>88</v>
      </c>
      <c r="B268" s="3">
        <v>45717</v>
      </c>
      <c r="C268" t="s">
        <v>15</v>
      </c>
      <c r="D268" t="s">
        <v>18</v>
      </c>
      <c r="E268">
        <v>56602.39</v>
      </c>
      <c r="F268">
        <v>7969</v>
      </c>
      <c r="G268">
        <v>0.17</v>
      </c>
      <c r="H268">
        <v>21</v>
      </c>
      <c r="I268">
        <v>88.3</v>
      </c>
      <c r="J268">
        <v>2.25</v>
      </c>
      <c r="K268">
        <v>0</v>
      </c>
      <c r="L268">
        <v>3.7</v>
      </c>
      <c r="M268">
        <v>745580.51</v>
      </c>
      <c r="N268">
        <v>116273.68</v>
      </c>
    </row>
    <row r="269" spans="1:14">
      <c r="A269" t="s">
        <v>88</v>
      </c>
      <c r="B269" s="3">
        <v>45748</v>
      </c>
      <c r="C269" t="s">
        <v>15</v>
      </c>
      <c r="D269" t="s">
        <v>18</v>
      </c>
      <c r="E269">
        <v>67722.289999999994</v>
      </c>
      <c r="F269">
        <v>7240</v>
      </c>
      <c r="G269">
        <v>2.5999999999999999E-2</v>
      </c>
      <c r="H269">
        <v>15</v>
      </c>
      <c r="I269">
        <v>92.9</v>
      </c>
      <c r="J269">
        <v>0.28999999999999998</v>
      </c>
      <c r="K269">
        <v>0</v>
      </c>
      <c r="L269">
        <v>3.5</v>
      </c>
      <c r="M269">
        <v>762328.31</v>
      </c>
      <c r="N269">
        <v>159158.19</v>
      </c>
    </row>
    <row r="270" spans="1:14">
      <c r="A270" t="s">
        <v>89</v>
      </c>
      <c r="B270" s="3">
        <v>45658</v>
      </c>
      <c r="C270" t="s">
        <v>15</v>
      </c>
      <c r="D270" t="s">
        <v>28</v>
      </c>
      <c r="E270">
        <v>48752.92</v>
      </c>
      <c r="F270">
        <v>8052</v>
      </c>
      <c r="G270">
        <v>0.106</v>
      </c>
      <c r="H270">
        <v>16</v>
      </c>
      <c r="I270">
        <v>94.9</v>
      </c>
      <c r="J270">
        <v>0.65</v>
      </c>
      <c r="K270">
        <v>0</v>
      </c>
      <c r="L270">
        <v>3.6</v>
      </c>
      <c r="M270">
        <v>660633.99</v>
      </c>
      <c r="N270">
        <v>118768.66</v>
      </c>
    </row>
    <row r="271" spans="1:14">
      <c r="A271" t="s">
        <v>89</v>
      </c>
      <c r="B271" s="3">
        <v>45689</v>
      </c>
      <c r="C271" t="s">
        <v>15</v>
      </c>
      <c r="D271" t="s">
        <v>28</v>
      </c>
      <c r="E271">
        <v>23914.97</v>
      </c>
      <c r="F271">
        <v>8018</v>
      </c>
      <c r="G271">
        <v>0.13900000000000001</v>
      </c>
      <c r="H271">
        <v>20</v>
      </c>
      <c r="I271">
        <v>89</v>
      </c>
      <c r="J271">
        <v>0.2</v>
      </c>
      <c r="K271">
        <v>0</v>
      </c>
      <c r="L271">
        <v>3.5</v>
      </c>
      <c r="M271">
        <v>739374.56</v>
      </c>
      <c r="N271">
        <v>121032.29</v>
      </c>
    </row>
    <row r="272" spans="1:14">
      <c r="A272" t="s">
        <v>89</v>
      </c>
      <c r="B272" s="3">
        <v>45717</v>
      </c>
      <c r="C272" t="s">
        <v>15</v>
      </c>
      <c r="D272" t="s">
        <v>28</v>
      </c>
      <c r="E272">
        <v>61995.3</v>
      </c>
      <c r="F272">
        <v>10192</v>
      </c>
      <c r="G272">
        <v>0.19800000000000001</v>
      </c>
      <c r="H272">
        <v>21</v>
      </c>
      <c r="I272">
        <v>87.6</v>
      </c>
      <c r="J272">
        <v>3.63</v>
      </c>
      <c r="K272">
        <v>1</v>
      </c>
      <c r="L272">
        <v>3.8</v>
      </c>
      <c r="M272">
        <v>799756.46</v>
      </c>
      <c r="N272">
        <v>105052.93</v>
      </c>
    </row>
    <row r="273" spans="1:14">
      <c r="A273" t="s">
        <v>89</v>
      </c>
      <c r="B273" s="3">
        <v>45748</v>
      </c>
      <c r="C273" t="s">
        <v>15</v>
      </c>
      <c r="D273" t="s">
        <v>28</v>
      </c>
      <c r="E273">
        <v>29344.93</v>
      </c>
      <c r="F273">
        <v>7446</v>
      </c>
      <c r="G273">
        <v>0.111</v>
      </c>
      <c r="H273">
        <v>15</v>
      </c>
      <c r="I273">
        <v>86.2</v>
      </c>
      <c r="J273">
        <v>0.2</v>
      </c>
      <c r="K273">
        <v>0</v>
      </c>
      <c r="L273">
        <v>3.2</v>
      </c>
      <c r="M273">
        <v>593343</v>
      </c>
      <c r="N273">
        <v>82832.240000000005</v>
      </c>
    </row>
    <row r="274" spans="1:14">
      <c r="A274" t="s">
        <v>90</v>
      </c>
      <c r="B274" s="3">
        <v>45658</v>
      </c>
      <c r="C274" t="s">
        <v>27</v>
      </c>
      <c r="D274" t="s">
        <v>18</v>
      </c>
      <c r="E274">
        <v>50532.17</v>
      </c>
      <c r="F274">
        <v>5689</v>
      </c>
      <c r="G274">
        <v>5.1999999999999998E-2</v>
      </c>
      <c r="H274">
        <v>17</v>
      </c>
      <c r="I274">
        <v>85.6</v>
      </c>
      <c r="J274">
        <v>6.23</v>
      </c>
      <c r="K274">
        <v>0</v>
      </c>
      <c r="L274">
        <v>3.3</v>
      </c>
      <c r="M274">
        <v>645039.97</v>
      </c>
      <c r="N274">
        <v>83093.33</v>
      </c>
    </row>
    <row r="275" spans="1:14">
      <c r="A275" t="s">
        <v>90</v>
      </c>
      <c r="B275" s="3">
        <v>45689</v>
      </c>
      <c r="C275" t="s">
        <v>27</v>
      </c>
      <c r="D275" t="s">
        <v>18</v>
      </c>
      <c r="E275">
        <v>17562.57</v>
      </c>
      <c r="F275">
        <v>3326</v>
      </c>
      <c r="G275">
        <v>0.153</v>
      </c>
      <c r="H275">
        <v>14</v>
      </c>
      <c r="I275">
        <v>88.1</v>
      </c>
      <c r="J275">
        <v>1.04</v>
      </c>
      <c r="K275">
        <v>0</v>
      </c>
      <c r="L275">
        <v>3.1</v>
      </c>
      <c r="M275">
        <v>561597.32999999996</v>
      </c>
      <c r="N275">
        <v>75072.75</v>
      </c>
    </row>
    <row r="276" spans="1:14">
      <c r="A276" t="s">
        <v>90</v>
      </c>
      <c r="B276" s="3">
        <v>45717</v>
      </c>
      <c r="C276" t="s">
        <v>27</v>
      </c>
      <c r="D276" t="s">
        <v>18</v>
      </c>
      <c r="E276">
        <v>47648.71</v>
      </c>
      <c r="F276">
        <v>5767</v>
      </c>
      <c r="G276">
        <v>0.14099999999999999</v>
      </c>
      <c r="H276">
        <v>17</v>
      </c>
      <c r="I276">
        <v>89.8</v>
      </c>
      <c r="J276">
        <v>1.76</v>
      </c>
      <c r="K276">
        <v>0</v>
      </c>
      <c r="L276">
        <v>3.1</v>
      </c>
      <c r="M276">
        <v>635837.74</v>
      </c>
      <c r="N276">
        <v>114740.64</v>
      </c>
    </row>
    <row r="277" spans="1:14">
      <c r="A277" t="s">
        <v>90</v>
      </c>
      <c r="B277" s="3">
        <v>45748</v>
      </c>
      <c r="C277" t="s">
        <v>27</v>
      </c>
      <c r="D277" t="s">
        <v>18</v>
      </c>
      <c r="E277">
        <v>38297.58</v>
      </c>
      <c r="F277">
        <v>5893</v>
      </c>
      <c r="G277">
        <v>0.247</v>
      </c>
      <c r="H277">
        <v>18</v>
      </c>
      <c r="I277">
        <v>77.599999999999994</v>
      </c>
      <c r="J277">
        <v>2.86</v>
      </c>
      <c r="K277">
        <v>0</v>
      </c>
      <c r="L277">
        <v>3</v>
      </c>
      <c r="M277">
        <v>686737.87</v>
      </c>
      <c r="N277">
        <v>83839.67</v>
      </c>
    </row>
    <row r="278" spans="1:14">
      <c r="A278" t="s">
        <v>91</v>
      </c>
      <c r="B278" s="3">
        <v>45658</v>
      </c>
      <c r="C278" t="s">
        <v>24</v>
      </c>
      <c r="D278" t="s">
        <v>16</v>
      </c>
      <c r="E278">
        <v>61784.11</v>
      </c>
      <c r="F278">
        <v>8564</v>
      </c>
      <c r="G278">
        <v>0.13</v>
      </c>
      <c r="H278">
        <v>17</v>
      </c>
      <c r="I278">
        <v>87.4</v>
      </c>
      <c r="J278">
        <v>18.14</v>
      </c>
      <c r="K278">
        <v>1</v>
      </c>
      <c r="L278">
        <v>3.4</v>
      </c>
      <c r="M278">
        <v>673076.34</v>
      </c>
      <c r="N278">
        <v>93899.76</v>
      </c>
    </row>
    <row r="279" spans="1:14">
      <c r="A279" t="s">
        <v>91</v>
      </c>
      <c r="B279" s="3">
        <v>45689</v>
      </c>
      <c r="C279" t="s">
        <v>24</v>
      </c>
      <c r="D279" t="s">
        <v>16</v>
      </c>
      <c r="E279">
        <v>36832.33</v>
      </c>
      <c r="F279">
        <v>8001</v>
      </c>
      <c r="G279">
        <v>0</v>
      </c>
      <c r="H279">
        <v>19</v>
      </c>
      <c r="I279">
        <v>88.7</v>
      </c>
      <c r="J279">
        <v>3.39</v>
      </c>
      <c r="K279">
        <v>0</v>
      </c>
      <c r="L279">
        <v>4</v>
      </c>
      <c r="M279">
        <v>738548.42</v>
      </c>
      <c r="N279">
        <v>134282.76999999999</v>
      </c>
    </row>
    <row r="280" spans="1:14">
      <c r="A280" t="s">
        <v>91</v>
      </c>
      <c r="B280" s="3">
        <v>45717</v>
      </c>
      <c r="C280" t="s">
        <v>24</v>
      </c>
      <c r="D280" t="s">
        <v>16</v>
      </c>
      <c r="E280">
        <v>48609.41</v>
      </c>
      <c r="F280">
        <v>9324</v>
      </c>
      <c r="G280">
        <v>0.21299999999999999</v>
      </c>
      <c r="H280">
        <v>18</v>
      </c>
      <c r="I280">
        <v>86.5</v>
      </c>
      <c r="J280">
        <v>1.44</v>
      </c>
      <c r="K280">
        <v>0</v>
      </c>
      <c r="L280">
        <v>3.9</v>
      </c>
      <c r="M280">
        <v>756619.77</v>
      </c>
      <c r="N280">
        <v>112057.69</v>
      </c>
    </row>
    <row r="281" spans="1:14">
      <c r="A281" t="s">
        <v>91</v>
      </c>
      <c r="B281" s="3">
        <v>45748</v>
      </c>
      <c r="C281" t="s">
        <v>24</v>
      </c>
      <c r="D281" t="s">
        <v>16</v>
      </c>
      <c r="E281">
        <v>70284.06</v>
      </c>
      <c r="F281">
        <v>9109</v>
      </c>
      <c r="G281">
        <v>4.0000000000000001E-3</v>
      </c>
      <c r="H281">
        <v>23</v>
      </c>
      <c r="I281">
        <v>87</v>
      </c>
      <c r="J281">
        <v>3.65</v>
      </c>
      <c r="K281">
        <v>0</v>
      </c>
      <c r="L281">
        <v>3.7</v>
      </c>
      <c r="M281">
        <v>761122.42</v>
      </c>
      <c r="N281">
        <v>149802.04</v>
      </c>
    </row>
    <row r="282" spans="1:14">
      <c r="A282" t="s">
        <v>92</v>
      </c>
      <c r="B282" s="3">
        <v>45658</v>
      </c>
      <c r="C282" t="s">
        <v>24</v>
      </c>
      <c r="D282" t="s">
        <v>18</v>
      </c>
      <c r="E282">
        <v>45940.39</v>
      </c>
      <c r="F282">
        <v>4022</v>
      </c>
      <c r="G282">
        <v>6.9000000000000006E-2</v>
      </c>
      <c r="H282">
        <v>10</v>
      </c>
      <c r="I282">
        <v>83</v>
      </c>
      <c r="J282">
        <v>1.23</v>
      </c>
      <c r="K282">
        <v>1</v>
      </c>
      <c r="L282">
        <v>3.8</v>
      </c>
      <c r="M282">
        <v>524899.56999999995</v>
      </c>
      <c r="N282">
        <v>63619.98</v>
      </c>
    </row>
    <row r="283" spans="1:14">
      <c r="A283" t="s">
        <v>92</v>
      </c>
      <c r="B283" s="3">
        <v>45689</v>
      </c>
      <c r="C283" t="s">
        <v>24</v>
      </c>
      <c r="D283" t="s">
        <v>18</v>
      </c>
      <c r="E283">
        <v>34771.26</v>
      </c>
      <c r="F283">
        <v>4355</v>
      </c>
      <c r="G283">
        <v>5.0999999999999997E-2</v>
      </c>
      <c r="H283">
        <v>15</v>
      </c>
      <c r="I283">
        <v>87.9</v>
      </c>
      <c r="J283">
        <v>3.09</v>
      </c>
      <c r="K283">
        <v>0</v>
      </c>
      <c r="L283">
        <v>4</v>
      </c>
      <c r="M283">
        <v>555557.77</v>
      </c>
      <c r="N283">
        <v>86475.51</v>
      </c>
    </row>
    <row r="284" spans="1:14">
      <c r="A284" t="s">
        <v>92</v>
      </c>
      <c r="B284" s="3">
        <v>45717</v>
      </c>
      <c r="C284" t="s">
        <v>24</v>
      </c>
      <c r="D284" t="s">
        <v>18</v>
      </c>
      <c r="E284">
        <v>66104.19</v>
      </c>
      <c r="F284">
        <v>5745</v>
      </c>
      <c r="G284">
        <v>7.0000000000000007E-2</v>
      </c>
      <c r="H284">
        <v>17</v>
      </c>
      <c r="I284">
        <v>95.8</v>
      </c>
      <c r="J284">
        <v>3.15</v>
      </c>
      <c r="K284">
        <v>0</v>
      </c>
      <c r="L284">
        <v>4</v>
      </c>
      <c r="M284">
        <v>714083.68</v>
      </c>
      <c r="N284">
        <v>127231.74</v>
      </c>
    </row>
    <row r="285" spans="1:14">
      <c r="A285" t="s">
        <v>92</v>
      </c>
      <c r="B285" s="3">
        <v>45748</v>
      </c>
      <c r="C285" t="s">
        <v>24</v>
      </c>
      <c r="D285" t="s">
        <v>18</v>
      </c>
      <c r="E285">
        <v>18599.21</v>
      </c>
      <c r="F285">
        <v>3027</v>
      </c>
      <c r="G285">
        <v>0.122</v>
      </c>
      <c r="H285">
        <v>11</v>
      </c>
      <c r="I285">
        <v>80.900000000000006</v>
      </c>
      <c r="J285">
        <v>6.44</v>
      </c>
      <c r="K285">
        <v>0</v>
      </c>
      <c r="L285">
        <v>4.2</v>
      </c>
      <c r="M285">
        <v>497439.82</v>
      </c>
      <c r="N285">
        <v>93372.75</v>
      </c>
    </row>
    <row r="286" spans="1:14">
      <c r="A286" t="s">
        <v>93</v>
      </c>
      <c r="B286" s="3">
        <v>45658</v>
      </c>
      <c r="C286" t="s">
        <v>27</v>
      </c>
      <c r="D286" t="s">
        <v>16</v>
      </c>
      <c r="E286">
        <v>60183.06</v>
      </c>
      <c r="F286">
        <v>5562</v>
      </c>
      <c r="G286">
        <v>8.9999999999999993E-3</v>
      </c>
      <c r="H286">
        <v>13</v>
      </c>
      <c r="I286">
        <v>86.3</v>
      </c>
      <c r="J286">
        <v>0.2</v>
      </c>
      <c r="K286">
        <v>1</v>
      </c>
      <c r="L286">
        <v>4.5</v>
      </c>
      <c r="M286">
        <v>636775.66</v>
      </c>
      <c r="N286">
        <v>122636.86</v>
      </c>
    </row>
    <row r="287" spans="1:14">
      <c r="A287" t="s">
        <v>93</v>
      </c>
      <c r="B287" s="3">
        <v>45689</v>
      </c>
      <c r="C287" t="s">
        <v>27</v>
      </c>
      <c r="D287" t="s">
        <v>16</v>
      </c>
      <c r="E287">
        <v>74539.14</v>
      </c>
      <c r="F287">
        <v>4487</v>
      </c>
      <c r="G287">
        <v>0.14000000000000001</v>
      </c>
      <c r="H287">
        <v>10</v>
      </c>
      <c r="I287">
        <v>90.4</v>
      </c>
      <c r="J287">
        <v>0.59</v>
      </c>
      <c r="K287">
        <v>0</v>
      </c>
      <c r="L287">
        <v>4.5</v>
      </c>
      <c r="M287">
        <v>633009.53</v>
      </c>
      <c r="N287">
        <v>123782.67</v>
      </c>
    </row>
    <row r="288" spans="1:14">
      <c r="A288" t="s">
        <v>93</v>
      </c>
      <c r="B288" s="3">
        <v>45717</v>
      </c>
      <c r="C288" t="s">
        <v>27</v>
      </c>
      <c r="D288" t="s">
        <v>16</v>
      </c>
      <c r="E288">
        <v>55371.97</v>
      </c>
      <c r="F288">
        <v>4162</v>
      </c>
      <c r="G288">
        <v>0.183</v>
      </c>
      <c r="H288">
        <v>11</v>
      </c>
      <c r="I288">
        <v>92</v>
      </c>
      <c r="J288">
        <v>0.2</v>
      </c>
      <c r="K288">
        <v>1</v>
      </c>
      <c r="L288">
        <v>4.2</v>
      </c>
      <c r="M288">
        <v>609949</v>
      </c>
      <c r="N288">
        <v>126789.25</v>
      </c>
    </row>
    <row r="289" spans="1:14">
      <c r="A289" t="s">
        <v>93</v>
      </c>
      <c r="B289" s="3">
        <v>45748</v>
      </c>
      <c r="C289" t="s">
        <v>27</v>
      </c>
      <c r="D289" t="s">
        <v>16</v>
      </c>
      <c r="E289">
        <v>40928.69</v>
      </c>
      <c r="F289">
        <v>4094</v>
      </c>
      <c r="G289">
        <v>0.17399999999999999</v>
      </c>
      <c r="H289">
        <v>13</v>
      </c>
      <c r="I289">
        <v>82.4</v>
      </c>
      <c r="J289">
        <v>1.36</v>
      </c>
      <c r="K289">
        <v>0</v>
      </c>
      <c r="L289">
        <v>4.8</v>
      </c>
      <c r="M289">
        <v>548103.69999999995</v>
      </c>
      <c r="N289">
        <v>99905.52</v>
      </c>
    </row>
    <row r="290" spans="1:14">
      <c r="A290" t="s">
        <v>94</v>
      </c>
      <c r="B290" s="3">
        <v>45658</v>
      </c>
      <c r="C290" t="s">
        <v>15</v>
      </c>
      <c r="D290" t="s">
        <v>16</v>
      </c>
      <c r="E290">
        <v>70012.41</v>
      </c>
      <c r="F290">
        <v>8484</v>
      </c>
      <c r="G290">
        <v>0.27300000000000002</v>
      </c>
      <c r="H290">
        <v>23</v>
      </c>
      <c r="I290">
        <v>72.900000000000006</v>
      </c>
      <c r="J290">
        <v>3.34</v>
      </c>
      <c r="K290">
        <v>0</v>
      </c>
      <c r="L290">
        <v>3.7</v>
      </c>
      <c r="M290">
        <v>729424.42</v>
      </c>
      <c r="N290">
        <v>75592.28</v>
      </c>
    </row>
    <row r="291" spans="1:14">
      <c r="A291" t="s">
        <v>94</v>
      </c>
      <c r="B291" s="3">
        <v>45689</v>
      </c>
      <c r="C291" t="s">
        <v>15</v>
      </c>
      <c r="D291" t="s">
        <v>16</v>
      </c>
      <c r="E291">
        <v>68909.259999999995</v>
      </c>
      <c r="F291">
        <v>7794</v>
      </c>
      <c r="G291">
        <v>0.28399999999999997</v>
      </c>
      <c r="H291">
        <v>22</v>
      </c>
      <c r="I291">
        <v>89</v>
      </c>
      <c r="J291">
        <v>0.33</v>
      </c>
      <c r="K291">
        <v>0</v>
      </c>
      <c r="L291">
        <v>4</v>
      </c>
      <c r="M291">
        <v>696261.49</v>
      </c>
      <c r="N291">
        <v>72455.350000000006</v>
      </c>
    </row>
    <row r="292" spans="1:14">
      <c r="A292" t="s">
        <v>94</v>
      </c>
      <c r="B292" s="3">
        <v>45717</v>
      </c>
      <c r="C292" t="s">
        <v>15</v>
      </c>
      <c r="D292" t="s">
        <v>16</v>
      </c>
      <c r="E292">
        <v>56737.3</v>
      </c>
      <c r="F292">
        <v>8300</v>
      </c>
      <c r="G292">
        <v>3.2000000000000001E-2</v>
      </c>
      <c r="H292">
        <v>21</v>
      </c>
      <c r="I292">
        <v>83.2</v>
      </c>
      <c r="J292">
        <v>3.44</v>
      </c>
      <c r="K292">
        <v>1</v>
      </c>
      <c r="L292">
        <v>4.3</v>
      </c>
      <c r="M292">
        <v>813316.71</v>
      </c>
      <c r="N292">
        <v>110077.42</v>
      </c>
    </row>
    <row r="293" spans="1:14">
      <c r="A293" t="s">
        <v>94</v>
      </c>
      <c r="B293" s="3">
        <v>45748</v>
      </c>
      <c r="C293" t="s">
        <v>15</v>
      </c>
      <c r="D293" t="s">
        <v>16</v>
      </c>
      <c r="E293">
        <v>54080.91</v>
      </c>
      <c r="F293">
        <v>7083</v>
      </c>
      <c r="G293">
        <v>0</v>
      </c>
      <c r="H293">
        <v>15</v>
      </c>
      <c r="I293">
        <v>97</v>
      </c>
      <c r="J293">
        <v>5.33</v>
      </c>
      <c r="K293">
        <v>0</v>
      </c>
      <c r="L293">
        <v>4.0999999999999996</v>
      </c>
      <c r="M293">
        <v>702068.92</v>
      </c>
      <c r="N293">
        <v>111266.63</v>
      </c>
    </row>
    <row r="294" spans="1:14">
      <c r="A294" t="s">
        <v>95</v>
      </c>
      <c r="B294" s="3">
        <v>45658</v>
      </c>
      <c r="C294" t="s">
        <v>27</v>
      </c>
      <c r="D294" t="s">
        <v>18</v>
      </c>
      <c r="E294">
        <v>51996.32</v>
      </c>
      <c r="F294">
        <v>3834</v>
      </c>
      <c r="G294">
        <v>9.6000000000000002E-2</v>
      </c>
      <c r="H294">
        <v>8</v>
      </c>
      <c r="I294">
        <v>86.7</v>
      </c>
      <c r="J294">
        <v>6.04</v>
      </c>
      <c r="K294">
        <v>0</v>
      </c>
      <c r="L294">
        <v>4.5</v>
      </c>
      <c r="M294">
        <v>546223.69999999995</v>
      </c>
      <c r="N294">
        <v>100769.17</v>
      </c>
    </row>
    <row r="295" spans="1:14">
      <c r="A295" t="s">
        <v>95</v>
      </c>
      <c r="B295" s="3">
        <v>45689</v>
      </c>
      <c r="C295" t="s">
        <v>27</v>
      </c>
      <c r="D295" t="s">
        <v>18</v>
      </c>
      <c r="E295">
        <v>40102.879999999997</v>
      </c>
      <c r="F295">
        <v>2358</v>
      </c>
      <c r="G295">
        <v>0.11899999999999999</v>
      </c>
      <c r="H295">
        <v>9</v>
      </c>
      <c r="I295">
        <v>88.7</v>
      </c>
      <c r="J295">
        <v>1.6</v>
      </c>
      <c r="K295">
        <v>0</v>
      </c>
      <c r="L295">
        <v>4.2</v>
      </c>
      <c r="M295">
        <v>533121.26</v>
      </c>
      <c r="N295">
        <v>55063.39</v>
      </c>
    </row>
    <row r="296" spans="1:14">
      <c r="A296" t="s">
        <v>95</v>
      </c>
      <c r="B296" s="3">
        <v>45717</v>
      </c>
      <c r="C296" t="s">
        <v>27</v>
      </c>
      <c r="D296" t="s">
        <v>18</v>
      </c>
      <c r="E296">
        <v>59825.51</v>
      </c>
      <c r="F296">
        <v>1231</v>
      </c>
      <c r="G296">
        <v>0.214</v>
      </c>
      <c r="H296">
        <v>10</v>
      </c>
      <c r="I296">
        <v>84.8</v>
      </c>
      <c r="J296">
        <v>8.9600000000000009</v>
      </c>
      <c r="K296">
        <v>0</v>
      </c>
      <c r="L296">
        <v>4.7</v>
      </c>
      <c r="M296">
        <v>498970.32</v>
      </c>
      <c r="N296">
        <v>69656.7</v>
      </c>
    </row>
    <row r="297" spans="1:14">
      <c r="A297" t="s">
        <v>95</v>
      </c>
      <c r="B297" s="3">
        <v>45748</v>
      </c>
      <c r="C297" t="s">
        <v>27</v>
      </c>
      <c r="D297" t="s">
        <v>18</v>
      </c>
      <c r="E297">
        <v>27398.28</v>
      </c>
      <c r="F297">
        <v>1723</v>
      </c>
      <c r="G297">
        <v>0.17100000000000001</v>
      </c>
      <c r="H297">
        <v>9</v>
      </c>
      <c r="I297">
        <v>81</v>
      </c>
      <c r="J297">
        <v>0.74</v>
      </c>
      <c r="K297">
        <v>0</v>
      </c>
      <c r="L297">
        <v>4.5999999999999996</v>
      </c>
      <c r="M297">
        <v>487738.26</v>
      </c>
      <c r="N297">
        <v>96435.6</v>
      </c>
    </row>
    <row r="298" spans="1:14">
      <c r="A298" t="s">
        <v>96</v>
      </c>
      <c r="B298" s="3">
        <v>45658</v>
      </c>
      <c r="C298" t="s">
        <v>27</v>
      </c>
      <c r="D298" t="s">
        <v>18</v>
      </c>
      <c r="E298">
        <v>55599.56</v>
      </c>
      <c r="F298">
        <v>5896</v>
      </c>
      <c r="G298">
        <v>3.5999999999999997E-2</v>
      </c>
      <c r="H298">
        <v>12</v>
      </c>
      <c r="I298">
        <v>93.1</v>
      </c>
      <c r="J298">
        <v>6.13</v>
      </c>
      <c r="K298">
        <v>0</v>
      </c>
      <c r="L298">
        <v>3.3</v>
      </c>
      <c r="M298">
        <v>668459.37</v>
      </c>
      <c r="N298">
        <v>126435.42</v>
      </c>
    </row>
    <row r="299" spans="1:14">
      <c r="A299" t="s">
        <v>96</v>
      </c>
      <c r="B299" s="3">
        <v>45689</v>
      </c>
      <c r="C299" t="s">
        <v>27</v>
      </c>
      <c r="D299" t="s">
        <v>18</v>
      </c>
      <c r="E299">
        <v>55477.61</v>
      </c>
      <c r="F299">
        <v>5903</v>
      </c>
      <c r="G299">
        <v>0.10199999999999999</v>
      </c>
      <c r="H299">
        <v>14</v>
      </c>
      <c r="I299">
        <v>96.2</v>
      </c>
      <c r="J299">
        <v>1.41</v>
      </c>
      <c r="K299">
        <v>0</v>
      </c>
      <c r="L299">
        <v>3.3</v>
      </c>
      <c r="M299">
        <v>763162.45</v>
      </c>
      <c r="N299">
        <v>162524.04999999999</v>
      </c>
    </row>
    <row r="300" spans="1:14">
      <c r="A300" t="s">
        <v>96</v>
      </c>
      <c r="B300" s="3">
        <v>45717</v>
      </c>
      <c r="C300" t="s">
        <v>27</v>
      </c>
      <c r="D300" t="s">
        <v>18</v>
      </c>
      <c r="E300">
        <v>46174.7</v>
      </c>
      <c r="F300">
        <v>4898</v>
      </c>
      <c r="G300">
        <v>0.114</v>
      </c>
      <c r="H300">
        <v>11</v>
      </c>
      <c r="I300">
        <v>91.7</v>
      </c>
      <c r="J300">
        <v>3.75</v>
      </c>
      <c r="K300">
        <v>0</v>
      </c>
      <c r="L300">
        <v>3.1</v>
      </c>
      <c r="M300">
        <v>599017.32999999996</v>
      </c>
      <c r="N300">
        <v>134009.92000000001</v>
      </c>
    </row>
    <row r="301" spans="1:14">
      <c r="A301" t="s">
        <v>96</v>
      </c>
      <c r="B301" s="3">
        <v>45748</v>
      </c>
      <c r="C301" t="s">
        <v>27</v>
      </c>
      <c r="D301" t="s">
        <v>18</v>
      </c>
      <c r="E301">
        <v>24362.98</v>
      </c>
      <c r="F301">
        <v>1462</v>
      </c>
      <c r="G301">
        <v>0.11700000000000001</v>
      </c>
      <c r="H301">
        <v>6</v>
      </c>
      <c r="I301">
        <v>89.3</v>
      </c>
      <c r="J301">
        <v>15.06</v>
      </c>
      <c r="K301">
        <v>0</v>
      </c>
      <c r="L301">
        <v>3.2</v>
      </c>
      <c r="M301">
        <v>401582.58</v>
      </c>
      <c r="N301">
        <v>68454.929999999993</v>
      </c>
    </row>
    <row r="302" spans="1:14">
      <c r="A302" t="s">
        <v>97</v>
      </c>
      <c r="B302" s="3">
        <v>45658</v>
      </c>
      <c r="C302" t="s">
        <v>20</v>
      </c>
      <c r="D302" t="s">
        <v>28</v>
      </c>
      <c r="E302">
        <v>40647.67</v>
      </c>
      <c r="F302">
        <v>8252</v>
      </c>
      <c r="G302">
        <v>0.14099999999999999</v>
      </c>
      <c r="H302">
        <v>22</v>
      </c>
      <c r="I302">
        <v>88.2</v>
      </c>
      <c r="J302">
        <v>5.07</v>
      </c>
      <c r="K302">
        <v>1</v>
      </c>
      <c r="L302">
        <v>4.0999999999999996</v>
      </c>
      <c r="M302">
        <v>703812.99</v>
      </c>
      <c r="N302">
        <v>133577.98000000001</v>
      </c>
    </row>
    <row r="303" spans="1:14">
      <c r="A303" t="s">
        <v>97</v>
      </c>
      <c r="B303" s="3">
        <v>45689</v>
      </c>
      <c r="C303" t="s">
        <v>20</v>
      </c>
      <c r="D303" t="s">
        <v>28</v>
      </c>
      <c r="E303">
        <v>63986.98</v>
      </c>
      <c r="F303">
        <v>7989</v>
      </c>
      <c r="G303">
        <v>7.3999999999999996E-2</v>
      </c>
      <c r="H303">
        <v>20</v>
      </c>
      <c r="I303">
        <v>83.3</v>
      </c>
      <c r="J303">
        <v>3.6</v>
      </c>
      <c r="K303">
        <v>0</v>
      </c>
      <c r="L303">
        <v>3.7</v>
      </c>
      <c r="M303">
        <v>724346.73</v>
      </c>
      <c r="N303">
        <v>155013.91</v>
      </c>
    </row>
    <row r="304" spans="1:14">
      <c r="A304" t="s">
        <v>97</v>
      </c>
      <c r="B304" s="3">
        <v>45717</v>
      </c>
      <c r="C304" t="s">
        <v>20</v>
      </c>
      <c r="D304" t="s">
        <v>28</v>
      </c>
      <c r="E304">
        <v>52843.75</v>
      </c>
      <c r="F304">
        <v>8268</v>
      </c>
      <c r="G304">
        <v>0.13800000000000001</v>
      </c>
      <c r="H304">
        <v>19</v>
      </c>
      <c r="I304">
        <v>87.3</v>
      </c>
      <c r="J304">
        <v>4.3899999999999997</v>
      </c>
      <c r="K304">
        <v>1</v>
      </c>
      <c r="L304">
        <v>4.7</v>
      </c>
      <c r="M304">
        <v>730890.01</v>
      </c>
      <c r="N304">
        <v>105502.56</v>
      </c>
    </row>
    <row r="305" spans="1:14">
      <c r="A305" t="s">
        <v>97</v>
      </c>
      <c r="B305" s="3">
        <v>45748</v>
      </c>
      <c r="C305" t="s">
        <v>20</v>
      </c>
      <c r="D305" t="s">
        <v>28</v>
      </c>
      <c r="E305">
        <v>31997.25</v>
      </c>
      <c r="F305">
        <v>8183</v>
      </c>
      <c r="G305">
        <v>0.19800000000000001</v>
      </c>
      <c r="H305">
        <v>18</v>
      </c>
      <c r="I305">
        <v>93</v>
      </c>
      <c r="J305">
        <v>2.79</v>
      </c>
      <c r="K305">
        <v>0</v>
      </c>
      <c r="L305">
        <v>4.2</v>
      </c>
      <c r="M305">
        <v>780580.95</v>
      </c>
      <c r="N305">
        <v>138144.46</v>
      </c>
    </row>
    <row r="306" spans="1:14">
      <c r="A306" t="s">
        <v>98</v>
      </c>
      <c r="B306" s="3">
        <v>45658</v>
      </c>
      <c r="C306" t="s">
        <v>24</v>
      </c>
      <c r="D306" t="s">
        <v>16</v>
      </c>
      <c r="E306">
        <v>54948.02</v>
      </c>
      <c r="F306">
        <v>6534</v>
      </c>
      <c r="G306">
        <v>0.183</v>
      </c>
      <c r="H306">
        <v>14</v>
      </c>
      <c r="I306">
        <v>94.5</v>
      </c>
      <c r="J306">
        <v>1.56</v>
      </c>
      <c r="K306">
        <v>0</v>
      </c>
      <c r="L306">
        <v>4</v>
      </c>
      <c r="M306">
        <v>727957.48</v>
      </c>
      <c r="N306">
        <v>74805.23</v>
      </c>
    </row>
    <row r="307" spans="1:14">
      <c r="A307" t="s">
        <v>98</v>
      </c>
      <c r="B307" s="3">
        <v>45689</v>
      </c>
      <c r="C307" t="s">
        <v>24</v>
      </c>
      <c r="D307" t="s">
        <v>16</v>
      </c>
      <c r="E307">
        <v>46146.239999999998</v>
      </c>
      <c r="F307">
        <v>5804</v>
      </c>
      <c r="G307">
        <v>4.7E-2</v>
      </c>
      <c r="H307">
        <v>16</v>
      </c>
      <c r="I307">
        <v>86.9</v>
      </c>
      <c r="J307">
        <v>15.82</v>
      </c>
      <c r="K307">
        <v>0</v>
      </c>
      <c r="L307">
        <v>3.8</v>
      </c>
      <c r="M307">
        <v>538376</v>
      </c>
      <c r="N307">
        <v>87605.62</v>
      </c>
    </row>
    <row r="308" spans="1:14">
      <c r="A308" t="s">
        <v>98</v>
      </c>
      <c r="B308" s="3">
        <v>45717</v>
      </c>
      <c r="C308" t="s">
        <v>24</v>
      </c>
      <c r="D308" t="s">
        <v>16</v>
      </c>
      <c r="E308">
        <v>22387.26</v>
      </c>
      <c r="F308">
        <v>6301</v>
      </c>
      <c r="G308">
        <v>0.14599999999999999</v>
      </c>
      <c r="H308">
        <v>14</v>
      </c>
      <c r="I308">
        <v>85.9</v>
      </c>
      <c r="J308">
        <v>1.17</v>
      </c>
      <c r="K308">
        <v>1</v>
      </c>
      <c r="L308">
        <v>3.7</v>
      </c>
      <c r="M308">
        <v>665342.49</v>
      </c>
      <c r="N308">
        <v>93441.81</v>
      </c>
    </row>
    <row r="309" spans="1:14">
      <c r="A309" t="s">
        <v>98</v>
      </c>
      <c r="B309" s="3">
        <v>45748</v>
      </c>
      <c r="C309" t="s">
        <v>24</v>
      </c>
      <c r="D309" t="s">
        <v>16</v>
      </c>
      <c r="E309">
        <v>60684.05</v>
      </c>
      <c r="F309">
        <v>6399</v>
      </c>
      <c r="G309">
        <v>7.4999999999999997E-2</v>
      </c>
      <c r="H309">
        <v>16</v>
      </c>
      <c r="I309">
        <v>99</v>
      </c>
      <c r="J309">
        <v>3.82</v>
      </c>
      <c r="K309">
        <v>0</v>
      </c>
      <c r="L309">
        <v>3.5</v>
      </c>
      <c r="M309">
        <v>651164.18000000005</v>
      </c>
      <c r="N309">
        <v>109466.5</v>
      </c>
    </row>
    <row r="310" spans="1:14">
      <c r="A310" t="s">
        <v>99</v>
      </c>
      <c r="B310" s="3">
        <v>45658</v>
      </c>
      <c r="C310" t="s">
        <v>24</v>
      </c>
      <c r="D310" t="s">
        <v>18</v>
      </c>
      <c r="E310">
        <v>48465.599999999999</v>
      </c>
      <c r="F310">
        <v>5759</v>
      </c>
      <c r="G310">
        <v>0.154</v>
      </c>
      <c r="H310">
        <v>13</v>
      </c>
      <c r="I310">
        <v>87.5</v>
      </c>
      <c r="J310">
        <v>4.1399999999999997</v>
      </c>
      <c r="K310">
        <v>0</v>
      </c>
      <c r="L310">
        <v>4</v>
      </c>
      <c r="M310">
        <v>628538.30000000005</v>
      </c>
      <c r="N310">
        <v>112509.15</v>
      </c>
    </row>
    <row r="311" spans="1:14">
      <c r="A311" t="s">
        <v>99</v>
      </c>
      <c r="B311" s="3">
        <v>45689</v>
      </c>
      <c r="C311" t="s">
        <v>24</v>
      </c>
      <c r="D311" t="s">
        <v>18</v>
      </c>
      <c r="E311">
        <v>23702.38</v>
      </c>
      <c r="F311">
        <v>5285</v>
      </c>
      <c r="G311">
        <v>0.16700000000000001</v>
      </c>
      <c r="H311">
        <v>14</v>
      </c>
      <c r="I311">
        <v>79.7</v>
      </c>
      <c r="J311">
        <v>1.1000000000000001</v>
      </c>
      <c r="K311">
        <v>0</v>
      </c>
      <c r="L311">
        <v>4.3</v>
      </c>
      <c r="M311">
        <v>536524.84</v>
      </c>
      <c r="N311">
        <v>92752.94</v>
      </c>
    </row>
    <row r="312" spans="1:14">
      <c r="A312" t="s">
        <v>99</v>
      </c>
      <c r="B312" s="3">
        <v>45717</v>
      </c>
      <c r="C312" t="s">
        <v>24</v>
      </c>
      <c r="D312" t="s">
        <v>18</v>
      </c>
      <c r="E312">
        <v>54322.94</v>
      </c>
      <c r="F312">
        <v>5434</v>
      </c>
      <c r="G312">
        <v>0.2</v>
      </c>
      <c r="H312">
        <v>13</v>
      </c>
      <c r="I312">
        <v>85.7</v>
      </c>
      <c r="J312">
        <v>10.6</v>
      </c>
      <c r="K312">
        <v>0</v>
      </c>
      <c r="L312">
        <v>4.2</v>
      </c>
      <c r="M312">
        <v>621677.30000000005</v>
      </c>
      <c r="N312">
        <v>105192.52</v>
      </c>
    </row>
    <row r="313" spans="1:14">
      <c r="A313" t="s">
        <v>99</v>
      </c>
      <c r="B313" s="3">
        <v>45748</v>
      </c>
      <c r="C313" t="s">
        <v>24</v>
      </c>
      <c r="D313" t="s">
        <v>18</v>
      </c>
      <c r="E313">
        <v>86026.58</v>
      </c>
      <c r="F313">
        <v>7479</v>
      </c>
      <c r="G313">
        <v>0.14199999999999999</v>
      </c>
      <c r="H313">
        <v>20</v>
      </c>
      <c r="I313">
        <v>89</v>
      </c>
      <c r="J313">
        <v>0.9</v>
      </c>
      <c r="K313">
        <v>0</v>
      </c>
      <c r="M313">
        <v>771129.07</v>
      </c>
      <c r="N313">
        <v>116851.13</v>
      </c>
    </row>
    <row r="314" spans="1:14">
      <c r="A314" t="s">
        <v>100</v>
      </c>
      <c r="B314" s="3">
        <v>45658</v>
      </c>
      <c r="C314" t="s">
        <v>20</v>
      </c>
      <c r="D314" t="s">
        <v>16</v>
      </c>
      <c r="E314">
        <v>78967.520000000004</v>
      </c>
      <c r="F314">
        <v>6164</v>
      </c>
      <c r="G314">
        <v>2.1000000000000001E-2</v>
      </c>
      <c r="H314">
        <v>16</v>
      </c>
      <c r="I314">
        <v>85.5</v>
      </c>
      <c r="J314">
        <v>0.2</v>
      </c>
      <c r="K314">
        <v>0</v>
      </c>
      <c r="L314">
        <v>3.4</v>
      </c>
      <c r="M314">
        <v>702052.47</v>
      </c>
      <c r="N314">
        <v>121732.51</v>
      </c>
    </row>
    <row r="315" spans="1:14">
      <c r="A315" t="s">
        <v>100</v>
      </c>
      <c r="B315" s="3">
        <v>45689</v>
      </c>
      <c r="C315" t="s">
        <v>20</v>
      </c>
      <c r="D315" t="s">
        <v>16</v>
      </c>
      <c r="E315">
        <v>46767.99</v>
      </c>
      <c r="F315">
        <v>7973</v>
      </c>
      <c r="G315">
        <v>0.183</v>
      </c>
      <c r="H315">
        <v>18</v>
      </c>
      <c r="I315">
        <v>94.8</v>
      </c>
      <c r="J315">
        <v>4.67</v>
      </c>
      <c r="K315">
        <v>0</v>
      </c>
      <c r="M315">
        <v>688368.46</v>
      </c>
      <c r="N315">
        <v>93588.42</v>
      </c>
    </row>
    <row r="316" spans="1:14">
      <c r="A316" t="s">
        <v>100</v>
      </c>
      <c r="B316" s="3">
        <v>45717</v>
      </c>
      <c r="C316" t="s">
        <v>20</v>
      </c>
      <c r="D316" t="s">
        <v>16</v>
      </c>
      <c r="E316">
        <v>62507.16</v>
      </c>
      <c r="F316">
        <v>6000</v>
      </c>
      <c r="G316">
        <v>9.0999999999999998E-2</v>
      </c>
      <c r="H316">
        <v>14</v>
      </c>
      <c r="I316">
        <v>98.2</v>
      </c>
      <c r="J316">
        <v>4.38</v>
      </c>
      <c r="K316">
        <v>1</v>
      </c>
      <c r="L316">
        <v>3.9</v>
      </c>
      <c r="M316">
        <v>712375.77</v>
      </c>
      <c r="N316">
        <v>104171.53</v>
      </c>
    </row>
    <row r="317" spans="1:14">
      <c r="A317" t="s">
        <v>100</v>
      </c>
      <c r="B317" s="3">
        <v>45748</v>
      </c>
      <c r="C317" t="s">
        <v>20</v>
      </c>
      <c r="D317" t="s">
        <v>16</v>
      </c>
      <c r="E317">
        <v>66456.28</v>
      </c>
      <c r="F317">
        <v>9967</v>
      </c>
      <c r="G317">
        <v>0.108</v>
      </c>
      <c r="H317">
        <v>20</v>
      </c>
      <c r="I317">
        <v>94.7</v>
      </c>
      <c r="J317">
        <v>4.4800000000000004</v>
      </c>
      <c r="K317">
        <v>0</v>
      </c>
      <c r="L317">
        <v>4.2</v>
      </c>
      <c r="M317">
        <v>844710.67</v>
      </c>
      <c r="N317">
        <v>137140.18</v>
      </c>
    </row>
    <row r="318" spans="1:14">
      <c r="A318" t="s">
        <v>101</v>
      </c>
      <c r="B318" s="3">
        <v>45658</v>
      </c>
      <c r="C318" t="s">
        <v>15</v>
      </c>
      <c r="D318" t="s">
        <v>16</v>
      </c>
      <c r="E318">
        <v>76614.320000000007</v>
      </c>
      <c r="F318">
        <v>5639</v>
      </c>
      <c r="G318">
        <v>0.17399999999999999</v>
      </c>
      <c r="H318">
        <v>15</v>
      </c>
      <c r="I318">
        <v>92.9</v>
      </c>
      <c r="J318">
        <v>1.02</v>
      </c>
      <c r="K318">
        <v>1</v>
      </c>
      <c r="L318">
        <v>4</v>
      </c>
      <c r="M318">
        <v>620264.19999999995</v>
      </c>
      <c r="N318">
        <v>91365.64</v>
      </c>
    </row>
    <row r="319" spans="1:14">
      <c r="A319" t="s">
        <v>101</v>
      </c>
      <c r="B319" s="3">
        <v>45689</v>
      </c>
      <c r="C319" t="s">
        <v>15</v>
      </c>
      <c r="D319" t="s">
        <v>16</v>
      </c>
      <c r="E319">
        <v>24088.06</v>
      </c>
      <c r="F319">
        <v>3466</v>
      </c>
      <c r="G319">
        <v>0</v>
      </c>
      <c r="H319">
        <v>11</v>
      </c>
      <c r="I319">
        <v>88</v>
      </c>
      <c r="J319">
        <v>0.2</v>
      </c>
      <c r="K319">
        <v>0</v>
      </c>
      <c r="L319">
        <v>3.8</v>
      </c>
      <c r="M319">
        <v>536845.42000000004</v>
      </c>
      <c r="N319">
        <v>107473.75</v>
      </c>
    </row>
    <row r="320" spans="1:14">
      <c r="A320" t="s">
        <v>101</v>
      </c>
      <c r="B320" s="3">
        <v>45717</v>
      </c>
      <c r="C320" t="s">
        <v>15</v>
      </c>
      <c r="D320" t="s">
        <v>16</v>
      </c>
      <c r="E320">
        <v>81902.58</v>
      </c>
      <c r="F320">
        <v>7775</v>
      </c>
      <c r="G320">
        <v>0.215</v>
      </c>
      <c r="H320">
        <v>20</v>
      </c>
      <c r="I320">
        <v>85.2</v>
      </c>
      <c r="J320">
        <v>4.8899999999999997</v>
      </c>
      <c r="K320">
        <v>1</v>
      </c>
      <c r="L320">
        <v>4.2</v>
      </c>
      <c r="M320">
        <v>726776.22</v>
      </c>
      <c r="N320">
        <v>90804.49</v>
      </c>
    </row>
    <row r="321" spans="1:14">
      <c r="A321" t="s">
        <v>101</v>
      </c>
      <c r="B321" s="3">
        <v>45748</v>
      </c>
      <c r="C321" t="s">
        <v>15</v>
      </c>
      <c r="D321" t="s">
        <v>16</v>
      </c>
      <c r="E321">
        <v>40553.11</v>
      </c>
      <c r="F321">
        <v>5317</v>
      </c>
      <c r="G321">
        <v>0.16500000000000001</v>
      </c>
      <c r="H321">
        <v>17</v>
      </c>
      <c r="I321">
        <v>84.3</v>
      </c>
      <c r="J321">
        <v>11.82</v>
      </c>
      <c r="K321">
        <v>0</v>
      </c>
      <c r="L321">
        <v>4.0999999999999996</v>
      </c>
      <c r="M321">
        <v>559660.84</v>
      </c>
      <c r="N321">
        <v>71443.61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0F719-6FD1-E04E-B97C-018FDA36A051}">
  <dimension ref="A1:N324"/>
  <sheetViews>
    <sheetView workbookViewId="0">
      <pane ySplit="1" topLeftCell="A2" activePane="bottomLeft" state="frozen"/>
      <selection pane="bottomLeft" activeCell="I330" sqref="I330"/>
    </sheetView>
  </sheetViews>
  <sheetFormatPr baseColWidth="10" defaultColWidth="8.83203125" defaultRowHeight="14"/>
  <cols>
    <col min="1" max="1" width="16" customWidth="1"/>
    <col min="2" max="2" width="22" customWidth="1"/>
    <col min="3" max="14" width="16" customWidth="1"/>
  </cols>
  <sheetData>
    <row r="1" spans="1:14" ht="37.25" customHeight="1">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t="s">
        <v>14</v>
      </c>
      <c r="B2" s="3">
        <v>45658</v>
      </c>
      <c r="C2" t="s">
        <v>15</v>
      </c>
      <c r="D2" t="s">
        <v>16</v>
      </c>
      <c r="E2">
        <v>70389.11</v>
      </c>
      <c r="F2">
        <v>8302</v>
      </c>
      <c r="G2">
        <v>4.2000000000000003E-2</v>
      </c>
      <c r="H2">
        <v>17</v>
      </c>
      <c r="I2">
        <v>75</v>
      </c>
      <c r="J2">
        <v>5.28</v>
      </c>
      <c r="K2">
        <v>1</v>
      </c>
      <c r="L2">
        <v>3.1</v>
      </c>
      <c r="M2">
        <v>658832.62</v>
      </c>
      <c r="N2">
        <v>84349.93</v>
      </c>
    </row>
    <row r="3" spans="1:14">
      <c r="A3" t="s">
        <v>14</v>
      </c>
      <c r="B3" s="3">
        <v>45689</v>
      </c>
      <c r="C3" t="s">
        <v>15</v>
      </c>
      <c r="D3" t="s">
        <v>16</v>
      </c>
      <c r="E3">
        <v>43827.89</v>
      </c>
      <c r="F3">
        <v>8487</v>
      </c>
      <c r="G3">
        <v>0.16800000000000001</v>
      </c>
      <c r="H3">
        <v>23</v>
      </c>
      <c r="I3">
        <v>84.4</v>
      </c>
      <c r="J3">
        <v>4.3099999999999996</v>
      </c>
      <c r="K3">
        <v>0</v>
      </c>
      <c r="L3">
        <v>2.8</v>
      </c>
      <c r="M3">
        <v>634436</v>
      </c>
      <c r="N3">
        <v>106130.54</v>
      </c>
    </row>
    <row r="4" spans="1:14">
      <c r="A4" t="s">
        <v>14</v>
      </c>
      <c r="B4" s="3">
        <v>45717</v>
      </c>
      <c r="C4" t="s">
        <v>15</v>
      </c>
      <c r="D4" t="s">
        <v>16</v>
      </c>
      <c r="E4">
        <v>59921.75</v>
      </c>
      <c r="F4">
        <v>9113</v>
      </c>
      <c r="G4">
        <v>0.13300000000000001</v>
      </c>
      <c r="H4">
        <v>20</v>
      </c>
      <c r="I4">
        <v>88</v>
      </c>
      <c r="J4">
        <v>12</v>
      </c>
      <c r="K4">
        <v>0</v>
      </c>
      <c r="L4">
        <v>3.2</v>
      </c>
      <c r="M4">
        <v>678722.06</v>
      </c>
      <c r="N4">
        <v>101883.86</v>
      </c>
    </row>
    <row r="5" spans="1:14">
      <c r="A5" t="s">
        <v>14</v>
      </c>
      <c r="B5" s="3">
        <v>45748</v>
      </c>
      <c r="C5" t="s">
        <v>15</v>
      </c>
      <c r="D5" t="s">
        <v>16</v>
      </c>
      <c r="E5">
        <v>56856.63</v>
      </c>
      <c r="F5">
        <v>9431</v>
      </c>
      <c r="G5">
        <v>0.14199999999999999</v>
      </c>
      <c r="H5">
        <v>23</v>
      </c>
      <c r="I5">
        <v>86.9</v>
      </c>
      <c r="J5">
        <v>4.97</v>
      </c>
      <c r="K5">
        <v>0</v>
      </c>
      <c r="L5">
        <v>3.4</v>
      </c>
      <c r="M5">
        <v>658920.30000000005</v>
      </c>
      <c r="N5">
        <v>97910.37</v>
      </c>
    </row>
    <row r="6" spans="1:14">
      <c r="A6" t="s">
        <v>17</v>
      </c>
      <c r="B6" s="3">
        <v>45658</v>
      </c>
      <c r="C6" t="s">
        <v>15</v>
      </c>
      <c r="D6" t="s">
        <v>18</v>
      </c>
      <c r="E6">
        <v>48412.639999999999</v>
      </c>
      <c r="F6">
        <v>9545</v>
      </c>
      <c r="G6">
        <v>0.23100000000000001</v>
      </c>
      <c r="H6">
        <v>21</v>
      </c>
      <c r="I6">
        <v>97.6</v>
      </c>
      <c r="J6">
        <v>6.94</v>
      </c>
      <c r="K6">
        <v>1</v>
      </c>
      <c r="L6">
        <v>4.2</v>
      </c>
      <c r="M6">
        <v>741341.44</v>
      </c>
      <c r="N6">
        <v>119208.17</v>
      </c>
    </row>
    <row r="7" spans="1:14">
      <c r="A7" t="s">
        <v>17</v>
      </c>
      <c r="B7" s="3">
        <v>45689</v>
      </c>
      <c r="C7" t="s">
        <v>15</v>
      </c>
      <c r="D7" t="s">
        <v>18</v>
      </c>
      <c r="E7">
        <v>64811.21</v>
      </c>
      <c r="F7">
        <v>9792</v>
      </c>
      <c r="G7">
        <v>0.112</v>
      </c>
      <c r="H7">
        <v>20</v>
      </c>
      <c r="I7">
        <v>84.2</v>
      </c>
      <c r="J7">
        <v>2.88</v>
      </c>
      <c r="K7">
        <v>0</v>
      </c>
      <c r="L7">
        <v>4.2</v>
      </c>
      <c r="M7">
        <v>761835.34</v>
      </c>
      <c r="N7">
        <v>149602.23000000001</v>
      </c>
    </row>
    <row r="8" spans="1:14">
      <c r="A8" t="s">
        <v>17</v>
      </c>
      <c r="B8" s="3">
        <v>45717</v>
      </c>
      <c r="C8" t="s">
        <v>15</v>
      </c>
      <c r="D8" t="s">
        <v>18</v>
      </c>
      <c r="E8">
        <v>46213.45</v>
      </c>
      <c r="F8">
        <v>10616</v>
      </c>
      <c r="G8">
        <v>0.122</v>
      </c>
      <c r="H8">
        <v>22</v>
      </c>
      <c r="I8">
        <v>85.2</v>
      </c>
      <c r="J8">
        <v>0.2</v>
      </c>
      <c r="K8">
        <v>1</v>
      </c>
      <c r="L8">
        <v>4.0999999999999996</v>
      </c>
      <c r="M8">
        <v>806615.54</v>
      </c>
      <c r="N8">
        <v>131364.62</v>
      </c>
    </row>
    <row r="9" spans="1:14">
      <c r="A9" t="s">
        <v>17</v>
      </c>
      <c r="B9" s="3">
        <v>45748</v>
      </c>
      <c r="C9" t="s">
        <v>15</v>
      </c>
      <c r="D9" t="s">
        <v>18</v>
      </c>
      <c r="E9">
        <v>68148.52</v>
      </c>
      <c r="F9">
        <v>8567</v>
      </c>
      <c r="G9">
        <v>0.127</v>
      </c>
      <c r="H9">
        <v>23</v>
      </c>
      <c r="I9">
        <v>95.6</v>
      </c>
      <c r="J9">
        <v>0.8</v>
      </c>
      <c r="K9">
        <v>0</v>
      </c>
      <c r="L9">
        <v>3.9</v>
      </c>
      <c r="M9">
        <v>850164.26</v>
      </c>
      <c r="N9">
        <v>149262.75</v>
      </c>
    </row>
    <row r="10" spans="1:14">
      <c r="A10" t="s">
        <v>19</v>
      </c>
      <c r="B10" s="3">
        <v>45658</v>
      </c>
      <c r="C10" t="s">
        <v>20</v>
      </c>
      <c r="D10" t="s">
        <v>21</v>
      </c>
      <c r="E10">
        <v>71838.86</v>
      </c>
      <c r="F10">
        <v>10979</v>
      </c>
      <c r="G10">
        <v>0.215</v>
      </c>
      <c r="H10">
        <v>26</v>
      </c>
      <c r="I10">
        <v>88.6</v>
      </c>
      <c r="J10">
        <v>7.7</v>
      </c>
      <c r="K10">
        <v>1</v>
      </c>
      <c r="L10">
        <v>3.8</v>
      </c>
      <c r="M10">
        <v>930581.7</v>
      </c>
      <c r="N10">
        <v>136207.98000000001</v>
      </c>
    </row>
    <row r="11" spans="1:14">
      <c r="A11" t="s">
        <v>19</v>
      </c>
      <c r="B11" s="3">
        <v>45689</v>
      </c>
      <c r="C11" t="s">
        <v>20</v>
      </c>
      <c r="D11" t="s">
        <v>21</v>
      </c>
      <c r="E11">
        <v>68133.440000000002</v>
      </c>
      <c r="F11">
        <v>9459</v>
      </c>
      <c r="G11">
        <v>0.22</v>
      </c>
      <c r="H11">
        <v>21</v>
      </c>
      <c r="I11">
        <v>85</v>
      </c>
      <c r="J11">
        <v>1.91</v>
      </c>
      <c r="K11">
        <v>0</v>
      </c>
      <c r="L11">
        <v>4.2</v>
      </c>
      <c r="M11">
        <v>779010.94</v>
      </c>
      <c r="N11">
        <v>106328.09</v>
      </c>
    </row>
    <row r="12" spans="1:14">
      <c r="A12" t="s">
        <v>19</v>
      </c>
      <c r="B12" s="3">
        <v>45717</v>
      </c>
      <c r="C12" t="s">
        <v>20</v>
      </c>
      <c r="D12" t="s">
        <v>21</v>
      </c>
      <c r="E12">
        <v>34285.21</v>
      </c>
      <c r="F12">
        <v>9172</v>
      </c>
      <c r="G12">
        <v>0.21299999999999999</v>
      </c>
      <c r="H12">
        <v>22</v>
      </c>
      <c r="I12">
        <v>88.3</v>
      </c>
      <c r="J12">
        <v>10.46</v>
      </c>
      <c r="K12">
        <v>1</v>
      </c>
      <c r="L12">
        <v>3.8</v>
      </c>
      <c r="M12">
        <v>723060.76</v>
      </c>
      <c r="N12">
        <v>123131.24</v>
      </c>
    </row>
    <row r="13" spans="1:14">
      <c r="A13" t="s">
        <v>19</v>
      </c>
      <c r="B13" s="3">
        <v>45748</v>
      </c>
      <c r="C13" t="s">
        <v>20</v>
      </c>
      <c r="D13" t="s">
        <v>21</v>
      </c>
      <c r="E13">
        <v>67979.88</v>
      </c>
      <c r="F13">
        <v>11230</v>
      </c>
      <c r="G13">
        <v>2E-3</v>
      </c>
      <c r="H13">
        <v>28</v>
      </c>
      <c r="I13">
        <v>85.3</v>
      </c>
      <c r="J13">
        <v>7.16</v>
      </c>
      <c r="K13">
        <v>0</v>
      </c>
      <c r="L13">
        <v>3.8</v>
      </c>
      <c r="M13">
        <v>910791.94</v>
      </c>
      <c r="N13">
        <v>158891.28</v>
      </c>
    </row>
    <row r="14" spans="1:14">
      <c r="A14" t="s">
        <v>22</v>
      </c>
      <c r="B14" s="3">
        <v>45658</v>
      </c>
      <c r="C14" t="s">
        <v>15</v>
      </c>
      <c r="D14" t="s">
        <v>16</v>
      </c>
      <c r="E14">
        <v>71828.259999999995</v>
      </c>
      <c r="F14">
        <v>12775</v>
      </c>
      <c r="G14">
        <v>0.11600000000000001</v>
      </c>
      <c r="H14">
        <v>30</v>
      </c>
      <c r="I14">
        <v>81.7</v>
      </c>
      <c r="J14">
        <v>4.24</v>
      </c>
      <c r="K14">
        <v>1</v>
      </c>
      <c r="L14">
        <v>4.2</v>
      </c>
      <c r="M14">
        <v>922168.6</v>
      </c>
      <c r="N14">
        <v>107494.53</v>
      </c>
    </row>
    <row r="15" spans="1:14">
      <c r="A15" t="s">
        <v>22</v>
      </c>
      <c r="B15" s="3">
        <v>45689</v>
      </c>
      <c r="C15" t="s">
        <v>15</v>
      </c>
      <c r="D15" t="s">
        <v>16</v>
      </c>
      <c r="E15">
        <v>55716.82</v>
      </c>
      <c r="F15">
        <v>10054</v>
      </c>
      <c r="G15">
        <v>0.14599999999999999</v>
      </c>
      <c r="H15">
        <v>24</v>
      </c>
      <c r="I15">
        <v>84.9</v>
      </c>
      <c r="J15">
        <v>1.06</v>
      </c>
      <c r="K15">
        <v>0</v>
      </c>
      <c r="L15">
        <v>4.3</v>
      </c>
      <c r="M15">
        <v>726606.28</v>
      </c>
      <c r="N15">
        <v>122729.29</v>
      </c>
    </row>
    <row r="16" spans="1:14">
      <c r="A16" t="s">
        <v>22</v>
      </c>
      <c r="B16" s="3">
        <v>45717</v>
      </c>
      <c r="C16" t="s">
        <v>15</v>
      </c>
      <c r="D16" t="s">
        <v>16</v>
      </c>
      <c r="E16">
        <v>59909.51</v>
      </c>
      <c r="F16">
        <v>8895</v>
      </c>
      <c r="G16">
        <v>0.22800000000000001</v>
      </c>
      <c r="H16">
        <v>23</v>
      </c>
      <c r="I16">
        <v>88.8</v>
      </c>
      <c r="J16">
        <v>0.27</v>
      </c>
      <c r="K16">
        <v>0</v>
      </c>
      <c r="L16">
        <v>4.3</v>
      </c>
      <c r="M16">
        <v>746501.09</v>
      </c>
      <c r="N16">
        <v>136816.72</v>
      </c>
    </row>
    <row r="17" spans="1:14">
      <c r="A17" t="s">
        <v>22</v>
      </c>
      <c r="B17" s="3">
        <v>45748</v>
      </c>
      <c r="C17" t="s">
        <v>15</v>
      </c>
      <c r="D17" t="s">
        <v>16</v>
      </c>
      <c r="E17">
        <v>75305.710000000006</v>
      </c>
      <c r="F17">
        <v>10940</v>
      </c>
      <c r="G17">
        <v>6.0000000000000001E-3</v>
      </c>
      <c r="H17">
        <v>26</v>
      </c>
      <c r="I17">
        <v>76.5</v>
      </c>
      <c r="J17">
        <v>1.32</v>
      </c>
      <c r="K17">
        <v>0</v>
      </c>
      <c r="L17">
        <v>4.5</v>
      </c>
      <c r="M17">
        <v>834017.02</v>
      </c>
      <c r="N17">
        <v>114745.03</v>
      </c>
    </row>
    <row r="18" spans="1:14">
      <c r="A18" t="s">
        <v>23</v>
      </c>
      <c r="B18" s="3">
        <v>45658</v>
      </c>
      <c r="C18" t="s">
        <v>24</v>
      </c>
      <c r="D18" t="s">
        <v>16</v>
      </c>
      <c r="E18">
        <v>48804.22</v>
      </c>
      <c r="F18">
        <v>7057</v>
      </c>
      <c r="G18">
        <v>5.0000000000000001E-3</v>
      </c>
      <c r="H18">
        <v>15</v>
      </c>
      <c r="I18">
        <v>87.7</v>
      </c>
      <c r="J18">
        <v>1.22</v>
      </c>
      <c r="K18">
        <v>0</v>
      </c>
      <c r="L18">
        <v>3.7</v>
      </c>
      <c r="M18">
        <v>666152.52</v>
      </c>
      <c r="N18">
        <v>107490.58</v>
      </c>
    </row>
    <row r="19" spans="1:14">
      <c r="A19" t="s">
        <v>23</v>
      </c>
      <c r="B19" s="3">
        <v>45689</v>
      </c>
      <c r="C19" t="s">
        <v>24</v>
      </c>
      <c r="D19" t="s">
        <v>16</v>
      </c>
      <c r="E19">
        <v>59117.9</v>
      </c>
      <c r="F19">
        <v>4263</v>
      </c>
      <c r="G19">
        <v>0.11899999999999999</v>
      </c>
      <c r="H19">
        <v>9</v>
      </c>
      <c r="I19">
        <v>87.6</v>
      </c>
      <c r="J19">
        <v>4.01</v>
      </c>
      <c r="K19">
        <v>0</v>
      </c>
      <c r="L19">
        <v>3.6</v>
      </c>
      <c r="M19">
        <v>573155.18999999994</v>
      </c>
      <c r="N19">
        <v>83680.75</v>
      </c>
    </row>
    <row r="20" spans="1:14">
      <c r="A20" t="s">
        <v>23</v>
      </c>
      <c r="B20" s="3">
        <v>45717</v>
      </c>
      <c r="C20" t="s">
        <v>24</v>
      </c>
      <c r="D20" t="s">
        <v>16</v>
      </c>
      <c r="E20">
        <v>78831.12</v>
      </c>
      <c r="F20">
        <v>5538</v>
      </c>
      <c r="G20">
        <v>0</v>
      </c>
      <c r="H20">
        <v>15</v>
      </c>
      <c r="I20">
        <v>94.1</v>
      </c>
      <c r="J20">
        <v>0.2</v>
      </c>
      <c r="K20">
        <v>0</v>
      </c>
      <c r="L20">
        <v>3.9</v>
      </c>
      <c r="M20">
        <v>666573.19999999995</v>
      </c>
      <c r="N20">
        <v>140641.01999999999</v>
      </c>
    </row>
    <row r="21" spans="1:14">
      <c r="A21" t="s">
        <v>23</v>
      </c>
      <c r="B21" s="3">
        <v>45748</v>
      </c>
      <c r="C21" t="s">
        <v>24</v>
      </c>
      <c r="D21" t="s">
        <v>16</v>
      </c>
      <c r="E21">
        <v>41441.93</v>
      </c>
      <c r="F21">
        <v>4865</v>
      </c>
      <c r="G21">
        <v>0.158</v>
      </c>
      <c r="H21">
        <v>16</v>
      </c>
      <c r="I21">
        <v>88.3</v>
      </c>
      <c r="J21">
        <v>0.5</v>
      </c>
      <c r="K21">
        <v>0</v>
      </c>
      <c r="L21">
        <v>4</v>
      </c>
      <c r="M21">
        <v>591619.94999999995</v>
      </c>
      <c r="N21">
        <v>99521.35</v>
      </c>
    </row>
    <row r="22" spans="1:14">
      <c r="A22" t="s">
        <v>25</v>
      </c>
      <c r="B22" s="3">
        <v>45658</v>
      </c>
      <c r="C22" t="s">
        <v>20</v>
      </c>
      <c r="D22" t="s">
        <v>16</v>
      </c>
      <c r="E22">
        <v>30356.28</v>
      </c>
      <c r="F22">
        <v>2822</v>
      </c>
      <c r="G22">
        <v>0.23100000000000001</v>
      </c>
      <c r="H22">
        <v>9</v>
      </c>
      <c r="I22">
        <v>84.8</v>
      </c>
      <c r="J22">
        <v>6.95</v>
      </c>
      <c r="K22">
        <v>0</v>
      </c>
      <c r="L22">
        <v>5</v>
      </c>
      <c r="M22">
        <v>415721.82</v>
      </c>
      <c r="N22">
        <v>61179.15</v>
      </c>
    </row>
    <row r="23" spans="1:14">
      <c r="A23" t="s">
        <v>25</v>
      </c>
      <c r="B23" s="3">
        <v>45689</v>
      </c>
      <c r="C23" t="s">
        <v>20</v>
      </c>
      <c r="D23" t="s">
        <v>16</v>
      </c>
      <c r="E23">
        <v>33518.879999999997</v>
      </c>
      <c r="F23">
        <v>2121</v>
      </c>
      <c r="G23">
        <v>0.17599999999999999</v>
      </c>
      <c r="H23">
        <v>8</v>
      </c>
      <c r="I23">
        <v>88.5</v>
      </c>
      <c r="J23">
        <v>0.2</v>
      </c>
      <c r="K23">
        <v>0</v>
      </c>
      <c r="L23">
        <v>5</v>
      </c>
      <c r="M23">
        <v>491905.13</v>
      </c>
      <c r="N23">
        <v>79212.259999999995</v>
      </c>
    </row>
    <row r="24" spans="1:14">
      <c r="A24" t="s">
        <v>25</v>
      </c>
      <c r="B24" s="3">
        <v>45717</v>
      </c>
      <c r="C24" t="s">
        <v>20</v>
      </c>
      <c r="D24" t="s">
        <v>16</v>
      </c>
      <c r="E24">
        <v>42267.37</v>
      </c>
      <c r="F24">
        <v>3364</v>
      </c>
      <c r="G24">
        <v>0.16</v>
      </c>
      <c r="H24">
        <v>13</v>
      </c>
      <c r="I24">
        <v>82</v>
      </c>
      <c r="J24">
        <v>1.61</v>
      </c>
      <c r="K24">
        <v>1</v>
      </c>
      <c r="L24">
        <v>4.5999999999999996</v>
      </c>
      <c r="M24">
        <v>555929.4</v>
      </c>
      <c r="N24">
        <v>115201.76</v>
      </c>
    </row>
    <row r="25" spans="1:14">
      <c r="A25" t="s">
        <v>25</v>
      </c>
      <c r="B25" s="3">
        <v>45748</v>
      </c>
      <c r="C25" t="s">
        <v>20</v>
      </c>
      <c r="D25" t="s">
        <v>16</v>
      </c>
      <c r="E25">
        <v>62060.43</v>
      </c>
      <c r="F25">
        <v>2613</v>
      </c>
      <c r="G25">
        <v>0.216</v>
      </c>
      <c r="H25">
        <v>12</v>
      </c>
      <c r="I25">
        <v>92.1</v>
      </c>
      <c r="J25">
        <v>1.55</v>
      </c>
      <c r="K25">
        <v>0</v>
      </c>
      <c r="L25">
        <v>4.7</v>
      </c>
      <c r="M25">
        <v>565810.99</v>
      </c>
      <c r="N25">
        <v>77825.460000000006</v>
      </c>
    </row>
    <row r="26" spans="1:14">
      <c r="A26" t="s">
        <v>26</v>
      </c>
      <c r="B26" s="3">
        <v>45658</v>
      </c>
      <c r="C26" t="s">
        <v>27</v>
      </c>
      <c r="D26" t="s">
        <v>28</v>
      </c>
      <c r="E26">
        <v>57696.69</v>
      </c>
      <c r="F26">
        <v>10218</v>
      </c>
      <c r="G26">
        <v>0.121</v>
      </c>
      <c r="H26">
        <v>25</v>
      </c>
      <c r="I26">
        <v>94.8</v>
      </c>
      <c r="J26">
        <v>2.99</v>
      </c>
      <c r="K26">
        <v>0</v>
      </c>
      <c r="L26">
        <v>3.5</v>
      </c>
      <c r="M26">
        <v>811771.14</v>
      </c>
      <c r="N26">
        <v>148756.24</v>
      </c>
    </row>
    <row r="27" spans="1:14">
      <c r="A27" t="s">
        <v>26</v>
      </c>
      <c r="B27" s="3">
        <v>45689</v>
      </c>
      <c r="C27" t="s">
        <v>27</v>
      </c>
      <c r="D27" t="s">
        <v>28</v>
      </c>
      <c r="E27">
        <v>172415.52</v>
      </c>
      <c r="F27">
        <v>8927</v>
      </c>
      <c r="G27">
        <v>0.14000000000000001</v>
      </c>
      <c r="H27">
        <v>22</v>
      </c>
      <c r="I27">
        <v>86.2</v>
      </c>
      <c r="J27">
        <v>7.04</v>
      </c>
      <c r="K27">
        <v>0</v>
      </c>
      <c r="L27">
        <v>3.9</v>
      </c>
      <c r="M27">
        <v>800451.94</v>
      </c>
      <c r="N27">
        <v>111572.29</v>
      </c>
    </row>
    <row r="28" spans="1:14">
      <c r="A28" t="s">
        <v>26</v>
      </c>
      <c r="B28" s="3">
        <v>45717</v>
      </c>
      <c r="C28" t="s">
        <v>27</v>
      </c>
      <c r="D28" t="s">
        <v>28</v>
      </c>
      <c r="E28">
        <v>55270.52</v>
      </c>
      <c r="F28">
        <v>9315</v>
      </c>
      <c r="G28">
        <v>0.16900000000000001</v>
      </c>
      <c r="H28">
        <v>23</v>
      </c>
      <c r="I28">
        <v>91.9</v>
      </c>
      <c r="J28">
        <v>4.9400000000000004</v>
      </c>
      <c r="K28">
        <v>0</v>
      </c>
      <c r="L28">
        <v>4</v>
      </c>
      <c r="M28">
        <v>783672.82</v>
      </c>
      <c r="N28">
        <v>112577.14</v>
      </c>
    </row>
    <row r="29" spans="1:14">
      <c r="A29" t="s">
        <v>26</v>
      </c>
      <c r="B29" s="3">
        <v>45748</v>
      </c>
      <c r="C29" t="s">
        <v>27</v>
      </c>
      <c r="D29" t="s">
        <v>28</v>
      </c>
      <c r="E29">
        <v>52715.1</v>
      </c>
      <c r="F29">
        <v>7223</v>
      </c>
      <c r="G29">
        <v>0.122</v>
      </c>
      <c r="H29">
        <v>16</v>
      </c>
      <c r="I29">
        <v>84.2</v>
      </c>
      <c r="J29">
        <v>16.149999999999999</v>
      </c>
      <c r="K29">
        <v>0</v>
      </c>
      <c r="L29">
        <v>3.7</v>
      </c>
      <c r="M29">
        <v>701641.97</v>
      </c>
      <c r="N29">
        <v>106111.86</v>
      </c>
    </row>
    <row r="30" spans="1:14">
      <c r="A30" t="s">
        <v>29</v>
      </c>
      <c r="B30" s="3">
        <v>45658</v>
      </c>
      <c r="C30" t="s">
        <v>15</v>
      </c>
      <c r="D30" t="s">
        <v>16</v>
      </c>
      <c r="E30">
        <v>68600.62</v>
      </c>
      <c r="F30">
        <v>3988</v>
      </c>
      <c r="G30">
        <v>0.124</v>
      </c>
      <c r="H30">
        <v>11</v>
      </c>
      <c r="I30">
        <v>85</v>
      </c>
      <c r="J30">
        <v>0.48</v>
      </c>
      <c r="K30">
        <v>0</v>
      </c>
      <c r="L30">
        <v>3.6</v>
      </c>
      <c r="M30">
        <v>511844.41</v>
      </c>
      <c r="N30">
        <v>72774.44</v>
      </c>
    </row>
    <row r="31" spans="1:14">
      <c r="A31" t="s">
        <v>29</v>
      </c>
      <c r="B31" s="3">
        <v>45689</v>
      </c>
      <c r="C31" t="s">
        <v>15</v>
      </c>
      <c r="D31" t="s">
        <v>16</v>
      </c>
      <c r="E31">
        <v>63176.73</v>
      </c>
      <c r="F31">
        <v>2390</v>
      </c>
      <c r="G31">
        <v>0.216</v>
      </c>
      <c r="H31">
        <v>9</v>
      </c>
      <c r="I31">
        <v>87.5</v>
      </c>
      <c r="J31">
        <v>0.31</v>
      </c>
      <c r="K31">
        <v>0</v>
      </c>
      <c r="L31">
        <v>3.1</v>
      </c>
      <c r="M31">
        <v>537383.79</v>
      </c>
      <c r="N31">
        <v>63773.27</v>
      </c>
    </row>
    <row r="32" spans="1:14">
      <c r="A32" t="s">
        <v>29</v>
      </c>
      <c r="B32" s="3">
        <v>45717</v>
      </c>
      <c r="C32" t="s">
        <v>15</v>
      </c>
      <c r="D32" t="s">
        <v>16</v>
      </c>
      <c r="E32">
        <v>44970.080000000002</v>
      </c>
      <c r="F32">
        <v>2471</v>
      </c>
      <c r="G32">
        <v>0.13600000000000001</v>
      </c>
      <c r="H32">
        <v>11</v>
      </c>
      <c r="I32">
        <v>87.6</v>
      </c>
      <c r="J32">
        <v>3.01</v>
      </c>
      <c r="K32">
        <v>1</v>
      </c>
      <c r="L32">
        <v>3.7</v>
      </c>
      <c r="M32">
        <v>500173.02</v>
      </c>
      <c r="N32">
        <v>70982.05</v>
      </c>
    </row>
    <row r="33" spans="1:14">
      <c r="A33" t="s">
        <v>29</v>
      </c>
      <c r="B33" s="3">
        <v>45748</v>
      </c>
      <c r="C33" t="s">
        <v>15</v>
      </c>
      <c r="D33" t="s">
        <v>16</v>
      </c>
      <c r="E33">
        <v>69816.350000000006</v>
      </c>
      <c r="F33">
        <v>971</v>
      </c>
      <c r="G33">
        <v>0.16800000000000001</v>
      </c>
      <c r="H33">
        <v>5</v>
      </c>
      <c r="I33">
        <v>89.9</v>
      </c>
      <c r="J33">
        <v>12.15</v>
      </c>
      <c r="K33">
        <v>0</v>
      </c>
      <c r="L33">
        <v>3.6</v>
      </c>
      <c r="M33">
        <v>427917.38</v>
      </c>
      <c r="N33">
        <v>81824.31</v>
      </c>
    </row>
    <row r="34" spans="1:14">
      <c r="A34" t="s">
        <v>30</v>
      </c>
      <c r="B34" s="3">
        <v>45658</v>
      </c>
      <c r="C34" t="s">
        <v>20</v>
      </c>
      <c r="D34" t="s">
        <v>16</v>
      </c>
      <c r="E34">
        <v>54597.83</v>
      </c>
      <c r="F34">
        <v>9429</v>
      </c>
      <c r="G34">
        <v>0.188</v>
      </c>
      <c r="H34">
        <v>21</v>
      </c>
      <c r="I34">
        <v>83.3</v>
      </c>
      <c r="J34">
        <v>11.71</v>
      </c>
      <c r="K34">
        <v>0</v>
      </c>
      <c r="L34">
        <v>4.2</v>
      </c>
      <c r="M34">
        <v>641865.03</v>
      </c>
      <c r="N34">
        <v>81342.58</v>
      </c>
    </row>
    <row r="35" spans="1:14">
      <c r="A35" t="s">
        <v>30</v>
      </c>
      <c r="B35" s="3">
        <v>45689</v>
      </c>
      <c r="C35" t="s">
        <v>20</v>
      </c>
      <c r="D35" t="s">
        <v>16</v>
      </c>
      <c r="E35">
        <v>73771.91</v>
      </c>
      <c r="F35">
        <v>11695</v>
      </c>
      <c r="G35">
        <v>7.0000000000000007E-2</v>
      </c>
      <c r="H35">
        <v>25</v>
      </c>
      <c r="I35">
        <v>84.7</v>
      </c>
      <c r="J35">
        <v>0.62</v>
      </c>
      <c r="K35">
        <v>0</v>
      </c>
      <c r="L35" s="6">
        <v>3.92</v>
      </c>
      <c r="M35">
        <v>799477.76000000001</v>
      </c>
      <c r="N35">
        <v>164974.41</v>
      </c>
    </row>
    <row r="36" spans="1:14">
      <c r="A36" t="s">
        <v>30</v>
      </c>
      <c r="B36" s="3">
        <v>45717</v>
      </c>
      <c r="C36" t="s">
        <v>20</v>
      </c>
      <c r="D36" t="s">
        <v>16</v>
      </c>
      <c r="E36">
        <v>74413.88</v>
      </c>
      <c r="F36">
        <v>9449</v>
      </c>
      <c r="G36">
        <v>3.9E-2</v>
      </c>
      <c r="H36">
        <v>23</v>
      </c>
      <c r="I36">
        <v>92.1</v>
      </c>
      <c r="J36">
        <v>2.12</v>
      </c>
      <c r="K36">
        <v>0</v>
      </c>
      <c r="L36">
        <v>3.5</v>
      </c>
      <c r="M36">
        <v>798952.17</v>
      </c>
      <c r="N36">
        <v>161499.04</v>
      </c>
    </row>
    <row r="37" spans="1:14">
      <c r="A37" t="s">
        <v>30</v>
      </c>
      <c r="B37" s="3">
        <v>45748</v>
      </c>
      <c r="C37" t="s">
        <v>20</v>
      </c>
      <c r="D37" t="s">
        <v>16</v>
      </c>
      <c r="E37">
        <v>52483.77</v>
      </c>
      <c r="F37">
        <v>10453</v>
      </c>
      <c r="G37">
        <v>0.247</v>
      </c>
      <c r="H37">
        <v>25</v>
      </c>
      <c r="I37">
        <v>99</v>
      </c>
      <c r="J37">
        <v>6.31</v>
      </c>
      <c r="K37">
        <v>0</v>
      </c>
      <c r="L37">
        <v>3.6</v>
      </c>
      <c r="M37">
        <v>800979.78</v>
      </c>
      <c r="N37">
        <v>149242.26999999999</v>
      </c>
    </row>
    <row r="38" spans="1:14">
      <c r="A38" t="s">
        <v>31</v>
      </c>
      <c r="B38" s="3">
        <v>45658</v>
      </c>
      <c r="C38" t="s">
        <v>20</v>
      </c>
      <c r="D38" t="s">
        <v>28</v>
      </c>
      <c r="E38">
        <v>75269.87</v>
      </c>
      <c r="F38">
        <v>8838</v>
      </c>
      <c r="G38">
        <v>9.1999999999999998E-2</v>
      </c>
      <c r="H38">
        <v>21</v>
      </c>
      <c r="I38">
        <v>83.1</v>
      </c>
      <c r="J38">
        <v>9.56</v>
      </c>
      <c r="K38">
        <v>1</v>
      </c>
      <c r="L38">
        <v>4.2</v>
      </c>
      <c r="M38">
        <v>820593.93</v>
      </c>
      <c r="N38">
        <v>115860.06</v>
      </c>
    </row>
    <row r="39" spans="1:14">
      <c r="A39" t="s">
        <v>31</v>
      </c>
      <c r="B39" s="3">
        <v>45689</v>
      </c>
      <c r="C39" t="s">
        <v>20</v>
      </c>
      <c r="D39" t="s">
        <v>28</v>
      </c>
      <c r="E39">
        <v>61245.41</v>
      </c>
      <c r="F39">
        <v>8156</v>
      </c>
      <c r="G39">
        <v>0.156</v>
      </c>
      <c r="H39">
        <v>19</v>
      </c>
      <c r="I39">
        <v>92.9</v>
      </c>
      <c r="J39">
        <v>9.0500000000000007</v>
      </c>
      <c r="K39">
        <v>0</v>
      </c>
      <c r="L39">
        <v>3.8</v>
      </c>
      <c r="M39">
        <v>718330.53</v>
      </c>
      <c r="N39">
        <v>93247.9</v>
      </c>
    </row>
    <row r="40" spans="1:14">
      <c r="A40" t="s">
        <v>31</v>
      </c>
      <c r="B40" s="3">
        <v>45717</v>
      </c>
      <c r="C40" t="s">
        <v>20</v>
      </c>
      <c r="D40" t="s">
        <v>28</v>
      </c>
      <c r="E40">
        <v>93381.26</v>
      </c>
      <c r="F40">
        <v>7562</v>
      </c>
      <c r="G40">
        <v>0.19800000000000001</v>
      </c>
      <c r="H40">
        <v>19</v>
      </c>
      <c r="I40">
        <v>82.9</v>
      </c>
      <c r="J40">
        <v>5.05</v>
      </c>
      <c r="K40">
        <v>0</v>
      </c>
      <c r="L40">
        <v>4</v>
      </c>
      <c r="M40">
        <v>736633.4</v>
      </c>
      <c r="N40">
        <v>115654.66</v>
      </c>
    </row>
    <row r="41" spans="1:14">
      <c r="A41" t="s">
        <v>31</v>
      </c>
      <c r="B41" s="3">
        <v>45748</v>
      </c>
      <c r="C41" t="s">
        <v>20</v>
      </c>
      <c r="D41" t="s">
        <v>28</v>
      </c>
      <c r="E41">
        <v>65012.19</v>
      </c>
      <c r="F41">
        <v>9598</v>
      </c>
      <c r="G41">
        <v>8.5000000000000006E-2</v>
      </c>
      <c r="H41">
        <v>24</v>
      </c>
      <c r="I41">
        <v>98.3</v>
      </c>
      <c r="J41">
        <v>0.89</v>
      </c>
      <c r="K41">
        <v>0</v>
      </c>
      <c r="L41">
        <v>3.8</v>
      </c>
      <c r="M41">
        <v>828623.85</v>
      </c>
      <c r="N41">
        <v>167320.51999999999</v>
      </c>
    </row>
    <row r="42" spans="1:14">
      <c r="A42" t="s">
        <v>32</v>
      </c>
      <c r="B42" s="3">
        <v>45658</v>
      </c>
      <c r="C42" t="s">
        <v>15</v>
      </c>
      <c r="D42" t="s">
        <v>28</v>
      </c>
      <c r="E42">
        <v>40462.94</v>
      </c>
      <c r="F42">
        <v>3660</v>
      </c>
      <c r="G42">
        <v>0.218</v>
      </c>
      <c r="H42">
        <v>11</v>
      </c>
      <c r="I42">
        <v>95.2</v>
      </c>
      <c r="J42">
        <v>5.57</v>
      </c>
      <c r="K42">
        <v>0</v>
      </c>
      <c r="L42">
        <v>4.4000000000000004</v>
      </c>
      <c r="M42">
        <v>592195.85</v>
      </c>
      <c r="N42">
        <v>92291.56</v>
      </c>
    </row>
    <row r="43" spans="1:14">
      <c r="A43" t="s">
        <v>32</v>
      </c>
      <c r="B43" s="3">
        <v>45689</v>
      </c>
      <c r="C43" t="s">
        <v>15</v>
      </c>
      <c r="D43" t="s">
        <v>28</v>
      </c>
      <c r="E43">
        <v>46123.88</v>
      </c>
      <c r="F43">
        <v>3227</v>
      </c>
      <c r="G43">
        <v>0.14299999999999999</v>
      </c>
      <c r="H43">
        <v>10</v>
      </c>
      <c r="I43">
        <v>75.400000000000006</v>
      </c>
      <c r="J43">
        <v>1.06</v>
      </c>
      <c r="K43">
        <v>0</v>
      </c>
      <c r="L43">
        <v>4.4000000000000004</v>
      </c>
      <c r="M43">
        <v>532644.46</v>
      </c>
      <c r="N43">
        <v>60681.32</v>
      </c>
    </row>
    <row r="44" spans="1:14">
      <c r="A44" t="s">
        <v>32</v>
      </c>
      <c r="B44" s="3">
        <v>45717</v>
      </c>
      <c r="C44" t="s">
        <v>15</v>
      </c>
      <c r="D44" t="s">
        <v>28</v>
      </c>
      <c r="E44">
        <v>68077.539999999994</v>
      </c>
      <c r="F44">
        <v>3360</v>
      </c>
      <c r="G44">
        <v>0.128</v>
      </c>
      <c r="H44">
        <v>14</v>
      </c>
      <c r="I44">
        <v>88.2</v>
      </c>
      <c r="J44">
        <v>1.24</v>
      </c>
      <c r="K44">
        <v>1</v>
      </c>
      <c r="L44">
        <v>4</v>
      </c>
      <c r="M44">
        <v>657429.18000000005</v>
      </c>
      <c r="N44">
        <v>88919.74</v>
      </c>
    </row>
    <row r="45" spans="1:14">
      <c r="A45" t="s">
        <v>32</v>
      </c>
      <c r="B45" s="3">
        <v>45748</v>
      </c>
      <c r="C45" t="s">
        <v>15</v>
      </c>
      <c r="D45" t="s">
        <v>28</v>
      </c>
      <c r="E45">
        <v>64882.14</v>
      </c>
      <c r="F45">
        <v>3642</v>
      </c>
      <c r="G45">
        <v>1.9E-2</v>
      </c>
      <c r="H45">
        <v>13</v>
      </c>
      <c r="I45">
        <v>87.8</v>
      </c>
      <c r="J45">
        <v>4.5199999999999996</v>
      </c>
      <c r="K45">
        <v>0</v>
      </c>
      <c r="L45">
        <v>4.2</v>
      </c>
      <c r="M45">
        <v>605178</v>
      </c>
      <c r="N45">
        <v>106958.74</v>
      </c>
    </row>
    <row r="46" spans="1:14">
      <c r="A46" t="s">
        <v>33</v>
      </c>
      <c r="B46" s="3">
        <v>45658</v>
      </c>
      <c r="C46" t="s">
        <v>27</v>
      </c>
      <c r="D46" t="s">
        <v>16</v>
      </c>
      <c r="E46">
        <v>138855.51</v>
      </c>
      <c r="F46">
        <v>5145</v>
      </c>
      <c r="G46">
        <v>0.06</v>
      </c>
      <c r="H46">
        <v>17</v>
      </c>
      <c r="I46">
        <v>88.2</v>
      </c>
      <c r="J46">
        <v>9.58</v>
      </c>
      <c r="K46">
        <v>0</v>
      </c>
      <c r="L46">
        <v>3.2</v>
      </c>
      <c r="M46">
        <v>595467.6</v>
      </c>
      <c r="N46">
        <v>104276.46</v>
      </c>
    </row>
    <row r="47" spans="1:14">
      <c r="A47" t="s">
        <v>33</v>
      </c>
      <c r="B47" s="3">
        <v>45689</v>
      </c>
      <c r="C47" t="s">
        <v>27</v>
      </c>
      <c r="D47" t="s">
        <v>16</v>
      </c>
      <c r="E47">
        <v>63630.21</v>
      </c>
      <c r="F47">
        <v>4460</v>
      </c>
      <c r="G47">
        <v>0.23499999999999999</v>
      </c>
      <c r="H47">
        <v>14</v>
      </c>
      <c r="I47">
        <v>98.6</v>
      </c>
      <c r="J47">
        <v>5.52</v>
      </c>
      <c r="K47">
        <v>0</v>
      </c>
      <c r="L47">
        <v>3.5</v>
      </c>
      <c r="M47">
        <v>599603.4</v>
      </c>
      <c r="N47">
        <v>112685.12</v>
      </c>
    </row>
    <row r="48" spans="1:14">
      <c r="A48" t="s">
        <v>33</v>
      </c>
      <c r="B48" s="3">
        <v>45717</v>
      </c>
      <c r="C48" t="s">
        <v>27</v>
      </c>
      <c r="D48" t="s">
        <v>16</v>
      </c>
      <c r="E48">
        <v>50043.65</v>
      </c>
      <c r="F48">
        <v>3804</v>
      </c>
      <c r="G48">
        <v>0.113</v>
      </c>
      <c r="H48">
        <v>11</v>
      </c>
      <c r="I48">
        <v>90.9</v>
      </c>
      <c r="J48">
        <v>2.7</v>
      </c>
      <c r="K48">
        <v>1</v>
      </c>
      <c r="L48">
        <v>3.2</v>
      </c>
      <c r="M48">
        <v>614800.09</v>
      </c>
      <c r="N48">
        <v>100044.2</v>
      </c>
    </row>
    <row r="49" spans="1:14">
      <c r="A49" t="s">
        <v>33</v>
      </c>
      <c r="B49" s="3">
        <v>45748</v>
      </c>
      <c r="C49" t="s">
        <v>27</v>
      </c>
      <c r="D49" t="s">
        <v>16</v>
      </c>
      <c r="E49">
        <v>42093.84</v>
      </c>
      <c r="F49">
        <v>4074</v>
      </c>
      <c r="G49">
        <v>0.155</v>
      </c>
      <c r="H49">
        <v>15</v>
      </c>
      <c r="I49">
        <v>88</v>
      </c>
      <c r="J49">
        <v>9.64</v>
      </c>
      <c r="K49">
        <v>0</v>
      </c>
      <c r="L49">
        <v>3.3</v>
      </c>
      <c r="M49">
        <v>585365.73</v>
      </c>
      <c r="N49">
        <v>81011.520000000004</v>
      </c>
    </row>
    <row r="50" spans="1:14">
      <c r="A50" t="s">
        <v>34</v>
      </c>
      <c r="B50" s="3">
        <v>45658</v>
      </c>
      <c r="C50" t="s">
        <v>20</v>
      </c>
      <c r="D50" t="s">
        <v>28</v>
      </c>
      <c r="E50">
        <v>46624.05</v>
      </c>
      <c r="F50">
        <v>5104</v>
      </c>
      <c r="G50">
        <v>0.109</v>
      </c>
      <c r="H50">
        <v>11</v>
      </c>
      <c r="I50">
        <v>97.3</v>
      </c>
      <c r="J50">
        <v>3.49</v>
      </c>
      <c r="K50">
        <v>1</v>
      </c>
      <c r="L50">
        <v>4.7</v>
      </c>
      <c r="M50">
        <v>622811.74</v>
      </c>
      <c r="N50">
        <v>109978.35</v>
      </c>
    </row>
    <row r="51" spans="1:14">
      <c r="A51" t="s">
        <v>34</v>
      </c>
      <c r="B51" s="3">
        <v>45689</v>
      </c>
      <c r="C51" t="s">
        <v>20</v>
      </c>
      <c r="D51" t="s">
        <v>28</v>
      </c>
      <c r="E51">
        <v>49710.29</v>
      </c>
      <c r="F51">
        <v>5559</v>
      </c>
      <c r="G51">
        <v>0.218</v>
      </c>
      <c r="H51">
        <v>14</v>
      </c>
      <c r="I51">
        <v>71</v>
      </c>
      <c r="J51">
        <v>9.11</v>
      </c>
      <c r="K51">
        <v>0</v>
      </c>
      <c r="L51">
        <v>4.5999999999999996</v>
      </c>
      <c r="M51">
        <v>603297.56999999995</v>
      </c>
      <c r="N51">
        <v>60592.26</v>
      </c>
    </row>
    <row r="52" spans="1:14">
      <c r="A52" t="s">
        <v>34</v>
      </c>
      <c r="B52" s="3">
        <v>45717</v>
      </c>
      <c r="C52" t="s">
        <v>20</v>
      </c>
      <c r="D52" t="s">
        <v>28</v>
      </c>
      <c r="E52">
        <v>48287.85</v>
      </c>
      <c r="F52">
        <v>5150</v>
      </c>
      <c r="G52">
        <v>8.0000000000000002E-3</v>
      </c>
      <c r="H52">
        <v>12</v>
      </c>
      <c r="I52">
        <v>80.400000000000006</v>
      </c>
      <c r="J52">
        <v>7.4</v>
      </c>
      <c r="K52">
        <v>0</v>
      </c>
      <c r="L52">
        <v>4.5</v>
      </c>
      <c r="M52">
        <v>625672.86</v>
      </c>
      <c r="N52">
        <v>118020.12</v>
      </c>
    </row>
    <row r="53" spans="1:14">
      <c r="A53" t="s">
        <v>34</v>
      </c>
      <c r="B53" s="3">
        <v>45748</v>
      </c>
      <c r="C53" t="s">
        <v>20</v>
      </c>
      <c r="D53" t="s">
        <v>28</v>
      </c>
      <c r="E53">
        <v>65312.49</v>
      </c>
      <c r="F53">
        <v>7189</v>
      </c>
      <c r="G53">
        <v>0.05</v>
      </c>
      <c r="H53">
        <v>19</v>
      </c>
      <c r="I53">
        <v>93.7</v>
      </c>
      <c r="J53">
        <v>7.16</v>
      </c>
      <c r="K53">
        <v>0</v>
      </c>
      <c r="L53">
        <v>4.5999999999999996</v>
      </c>
      <c r="M53">
        <v>773815.14</v>
      </c>
      <c r="N53">
        <v>133948.39000000001</v>
      </c>
    </row>
    <row r="54" spans="1:14">
      <c r="A54" t="s">
        <v>35</v>
      </c>
      <c r="B54" s="3">
        <v>45658</v>
      </c>
      <c r="C54" t="s">
        <v>27</v>
      </c>
      <c r="D54" t="s">
        <v>18</v>
      </c>
      <c r="E54">
        <v>53015.46</v>
      </c>
      <c r="F54">
        <v>3279</v>
      </c>
      <c r="G54">
        <v>8.6999999999999994E-2</v>
      </c>
      <c r="H54">
        <v>9</v>
      </c>
      <c r="I54">
        <v>84.3</v>
      </c>
      <c r="J54">
        <v>22.02</v>
      </c>
      <c r="K54">
        <v>0</v>
      </c>
      <c r="L54">
        <v>3.9</v>
      </c>
      <c r="M54">
        <v>463534.25</v>
      </c>
      <c r="N54">
        <v>81834.539999999994</v>
      </c>
    </row>
    <row r="55" spans="1:14">
      <c r="A55" t="s">
        <v>35</v>
      </c>
      <c r="B55" s="3">
        <v>45689</v>
      </c>
      <c r="C55" t="s">
        <v>27</v>
      </c>
      <c r="D55" t="s">
        <v>18</v>
      </c>
      <c r="E55">
        <v>99874.01</v>
      </c>
      <c r="F55">
        <v>5887</v>
      </c>
      <c r="G55">
        <v>0.26200000000000001</v>
      </c>
      <c r="H55">
        <v>14</v>
      </c>
      <c r="I55">
        <v>88.7</v>
      </c>
      <c r="J55">
        <v>6.18</v>
      </c>
      <c r="K55">
        <v>0</v>
      </c>
      <c r="L55">
        <v>4.7</v>
      </c>
      <c r="M55">
        <v>746677.75</v>
      </c>
      <c r="N55">
        <v>122437.84</v>
      </c>
    </row>
    <row r="56" spans="1:14">
      <c r="A56" t="s">
        <v>35</v>
      </c>
      <c r="B56" s="3">
        <v>45717</v>
      </c>
      <c r="C56" t="s">
        <v>27</v>
      </c>
      <c r="D56" t="s">
        <v>18</v>
      </c>
      <c r="E56">
        <v>81195.5</v>
      </c>
      <c r="F56">
        <v>5516</v>
      </c>
      <c r="G56">
        <v>0.106</v>
      </c>
      <c r="H56">
        <v>14</v>
      </c>
      <c r="I56">
        <v>88</v>
      </c>
      <c r="J56">
        <v>1.76</v>
      </c>
      <c r="K56">
        <v>0</v>
      </c>
      <c r="L56">
        <v>4.3</v>
      </c>
      <c r="M56">
        <v>720852.5</v>
      </c>
      <c r="N56">
        <v>98565.62</v>
      </c>
    </row>
    <row r="57" spans="1:14">
      <c r="A57" t="s">
        <v>35</v>
      </c>
      <c r="B57" s="3">
        <v>45748</v>
      </c>
      <c r="C57" t="s">
        <v>27</v>
      </c>
      <c r="D57" t="s">
        <v>18</v>
      </c>
      <c r="E57">
        <v>27808.6</v>
      </c>
      <c r="F57">
        <v>2863</v>
      </c>
      <c r="G57">
        <v>0.08</v>
      </c>
      <c r="H57">
        <v>13</v>
      </c>
      <c r="I57">
        <v>89.3</v>
      </c>
      <c r="J57">
        <v>0.47</v>
      </c>
      <c r="K57">
        <v>0</v>
      </c>
      <c r="L57">
        <v>4.0999999999999996</v>
      </c>
      <c r="M57">
        <v>487464.91</v>
      </c>
      <c r="N57">
        <v>64562.26</v>
      </c>
    </row>
    <row r="58" spans="1:14">
      <c r="A58" t="s">
        <v>36</v>
      </c>
      <c r="B58" s="3">
        <v>45658</v>
      </c>
      <c r="C58" t="s">
        <v>15</v>
      </c>
      <c r="D58" t="s">
        <v>21</v>
      </c>
      <c r="E58">
        <v>19365.060000000001</v>
      </c>
      <c r="F58">
        <v>2378</v>
      </c>
      <c r="G58">
        <v>0</v>
      </c>
      <c r="H58">
        <v>12</v>
      </c>
      <c r="I58">
        <v>94.8</v>
      </c>
      <c r="J58">
        <v>0.2</v>
      </c>
      <c r="K58">
        <v>0</v>
      </c>
      <c r="L58">
        <v>3.5</v>
      </c>
      <c r="M58">
        <v>518049.26</v>
      </c>
      <c r="N58">
        <v>108592.49</v>
      </c>
    </row>
    <row r="59" spans="1:14">
      <c r="A59" t="s">
        <v>36</v>
      </c>
      <c r="B59" s="3">
        <v>45689</v>
      </c>
      <c r="C59" t="s">
        <v>15</v>
      </c>
      <c r="D59" t="s">
        <v>21</v>
      </c>
      <c r="E59">
        <v>59405.68</v>
      </c>
      <c r="F59">
        <v>2515</v>
      </c>
      <c r="G59">
        <v>3.9E-2</v>
      </c>
      <c r="H59">
        <v>12</v>
      </c>
      <c r="I59">
        <v>76</v>
      </c>
      <c r="J59">
        <v>5.1100000000000003</v>
      </c>
      <c r="K59">
        <v>0</v>
      </c>
      <c r="L59">
        <v>3.7</v>
      </c>
      <c r="M59">
        <v>500298.48</v>
      </c>
      <c r="N59">
        <v>73461.320000000007</v>
      </c>
    </row>
    <row r="60" spans="1:14">
      <c r="A60" t="s">
        <v>36</v>
      </c>
      <c r="B60" s="3">
        <v>45717</v>
      </c>
      <c r="C60" t="s">
        <v>15</v>
      </c>
      <c r="D60" t="s">
        <v>21</v>
      </c>
      <c r="E60">
        <v>118910.48</v>
      </c>
      <c r="F60">
        <v>4022</v>
      </c>
      <c r="G60">
        <v>0.13700000000000001</v>
      </c>
      <c r="H60">
        <v>11</v>
      </c>
      <c r="I60">
        <v>87.1</v>
      </c>
      <c r="J60">
        <v>0.2</v>
      </c>
      <c r="K60">
        <v>0</v>
      </c>
      <c r="L60">
        <v>3.1</v>
      </c>
      <c r="M60">
        <v>617291.15</v>
      </c>
      <c r="N60">
        <v>117782</v>
      </c>
    </row>
    <row r="61" spans="1:14">
      <c r="A61" t="s">
        <v>36</v>
      </c>
      <c r="B61" s="3">
        <v>45748</v>
      </c>
      <c r="C61" t="s">
        <v>15</v>
      </c>
      <c r="D61" t="s">
        <v>21</v>
      </c>
      <c r="E61">
        <v>52952.12</v>
      </c>
      <c r="F61">
        <v>4377</v>
      </c>
      <c r="G61">
        <v>9.1999999999999998E-2</v>
      </c>
      <c r="H61">
        <v>14</v>
      </c>
      <c r="I61">
        <v>88.6</v>
      </c>
      <c r="J61">
        <v>13.59</v>
      </c>
      <c r="K61">
        <v>0</v>
      </c>
      <c r="L61">
        <v>3.1</v>
      </c>
      <c r="M61">
        <v>553756.43000000005</v>
      </c>
      <c r="N61">
        <v>86166.77</v>
      </c>
    </row>
    <row r="62" spans="1:14">
      <c r="A62" t="s">
        <v>37</v>
      </c>
      <c r="B62" s="3">
        <v>45658</v>
      </c>
      <c r="C62" t="s">
        <v>24</v>
      </c>
      <c r="D62" t="s">
        <v>18</v>
      </c>
      <c r="E62">
        <v>74907.98</v>
      </c>
      <c r="F62">
        <v>5306</v>
      </c>
      <c r="G62">
        <v>6.2E-2</v>
      </c>
      <c r="H62">
        <v>16</v>
      </c>
      <c r="I62">
        <v>95.6</v>
      </c>
      <c r="J62">
        <v>1.02</v>
      </c>
      <c r="K62">
        <v>0</v>
      </c>
      <c r="L62">
        <v>3.7</v>
      </c>
      <c r="M62">
        <v>749559.71</v>
      </c>
      <c r="N62">
        <v>144522.53</v>
      </c>
    </row>
    <row r="63" spans="1:14">
      <c r="A63" t="s">
        <v>37</v>
      </c>
      <c r="B63" s="3">
        <v>45689</v>
      </c>
      <c r="C63" t="s">
        <v>24</v>
      </c>
      <c r="D63" t="s">
        <v>18</v>
      </c>
      <c r="E63">
        <v>37284.660000000003</v>
      </c>
      <c r="F63">
        <v>3928</v>
      </c>
      <c r="G63">
        <v>7.3999999999999996E-2</v>
      </c>
      <c r="H63">
        <v>12</v>
      </c>
      <c r="I63">
        <v>86.5</v>
      </c>
      <c r="J63">
        <v>1.64</v>
      </c>
      <c r="K63">
        <v>0</v>
      </c>
      <c r="L63">
        <v>3.8</v>
      </c>
      <c r="M63">
        <v>615966.48</v>
      </c>
      <c r="N63">
        <v>91509.38</v>
      </c>
    </row>
    <row r="64" spans="1:14">
      <c r="A64" t="s">
        <v>37</v>
      </c>
      <c r="B64" s="3">
        <v>45717</v>
      </c>
      <c r="C64" t="s">
        <v>24</v>
      </c>
      <c r="D64" t="s">
        <v>18</v>
      </c>
      <c r="E64">
        <v>50343.19</v>
      </c>
      <c r="F64">
        <v>3845</v>
      </c>
      <c r="G64">
        <v>0.113</v>
      </c>
      <c r="H64">
        <v>9</v>
      </c>
      <c r="I64">
        <v>88.7</v>
      </c>
      <c r="J64">
        <v>5.15</v>
      </c>
      <c r="K64">
        <v>0</v>
      </c>
      <c r="L64">
        <v>3.3</v>
      </c>
      <c r="M64">
        <v>572011.19999999995</v>
      </c>
      <c r="N64">
        <v>101409.68</v>
      </c>
    </row>
    <row r="65" spans="1:14">
      <c r="A65" t="s">
        <v>37</v>
      </c>
      <c r="B65" s="3">
        <v>45748</v>
      </c>
      <c r="C65" t="s">
        <v>24</v>
      </c>
      <c r="D65" t="s">
        <v>18</v>
      </c>
      <c r="E65">
        <v>74954.47</v>
      </c>
      <c r="F65">
        <v>6620</v>
      </c>
      <c r="G65">
        <v>5.3999999999999999E-2</v>
      </c>
      <c r="H65">
        <v>17</v>
      </c>
      <c r="I65">
        <v>91.1</v>
      </c>
      <c r="J65">
        <v>1.1100000000000001</v>
      </c>
      <c r="K65">
        <v>0</v>
      </c>
      <c r="L65">
        <v>3.5</v>
      </c>
      <c r="M65">
        <v>761860.19</v>
      </c>
      <c r="N65">
        <v>133279.38</v>
      </c>
    </row>
    <row r="66" spans="1:14">
      <c r="A66" t="s">
        <v>38</v>
      </c>
      <c r="B66" s="3">
        <v>45658</v>
      </c>
      <c r="C66" t="s">
        <v>27</v>
      </c>
      <c r="D66" t="s">
        <v>18</v>
      </c>
      <c r="E66">
        <v>70040.31</v>
      </c>
      <c r="F66">
        <v>9175</v>
      </c>
      <c r="G66">
        <v>0.107</v>
      </c>
      <c r="H66">
        <v>23</v>
      </c>
      <c r="I66">
        <v>95.1</v>
      </c>
      <c r="J66">
        <v>6.08</v>
      </c>
      <c r="K66">
        <v>1</v>
      </c>
      <c r="L66">
        <v>3.4</v>
      </c>
      <c r="M66">
        <v>784502.68</v>
      </c>
      <c r="N66">
        <v>129519.72</v>
      </c>
    </row>
    <row r="67" spans="1:14">
      <c r="A67" t="s">
        <v>38</v>
      </c>
      <c r="B67" s="3">
        <v>45689</v>
      </c>
      <c r="C67" t="s">
        <v>27</v>
      </c>
      <c r="D67" t="s">
        <v>18</v>
      </c>
      <c r="E67">
        <v>51148.69</v>
      </c>
      <c r="F67">
        <v>7940</v>
      </c>
      <c r="G67">
        <v>0.156</v>
      </c>
      <c r="H67">
        <v>18</v>
      </c>
      <c r="I67">
        <v>93.3</v>
      </c>
      <c r="J67">
        <v>10.91</v>
      </c>
      <c r="K67">
        <v>0</v>
      </c>
      <c r="L67">
        <v>3.6</v>
      </c>
      <c r="M67">
        <v>717141.55</v>
      </c>
      <c r="N67">
        <v>134013.60999999999</v>
      </c>
    </row>
    <row r="68" spans="1:14">
      <c r="A68" t="s">
        <v>38</v>
      </c>
      <c r="B68" s="3">
        <v>45717</v>
      </c>
      <c r="C68" t="s">
        <v>27</v>
      </c>
      <c r="D68" t="s">
        <v>18</v>
      </c>
      <c r="E68">
        <v>79346.100000000006</v>
      </c>
      <c r="F68">
        <v>9628</v>
      </c>
      <c r="G68">
        <v>0.10199999999999999</v>
      </c>
      <c r="H68">
        <v>20</v>
      </c>
      <c r="I68">
        <v>99</v>
      </c>
      <c r="J68">
        <v>19.010000000000002</v>
      </c>
      <c r="K68">
        <v>1</v>
      </c>
      <c r="L68">
        <v>3.2</v>
      </c>
      <c r="M68">
        <v>685379.08</v>
      </c>
      <c r="N68">
        <v>106898.82</v>
      </c>
    </row>
    <row r="69" spans="1:14">
      <c r="A69" t="s">
        <v>38</v>
      </c>
      <c r="B69" s="3">
        <v>45748</v>
      </c>
      <c r="C69" t="s">
        <v>27</v>
      </c>
      <c r="D69" t="s">
        <v>18</v>
      </c>
      <c r="E69">
        <v>42018.400000000001</v>
      </c>
      <c r="F69">
        <v>8296</v>
      </c>
      <c r="G69">
        <v>0.115</v>
      </c>
      <c r="H69">
        <v>17</v>
      </c>
      <c r="I69">
        <v>91.8</v>
      </c>
      <c r="J69">
        <v>0.77</v>
      </c>
      <c r="K69">
        <v>0</v>
      </c>
      <c r="L69">
        <v>3.4</v>
      </c>
      <c r="M69">
        <v>740496.65</v>
      </c>
      <c r="N69">
        <v>128020.9</v>
      </c>
    </row>
    <row r="70" spans="1:14">
      <c r="A70" t="s">
        <v>39</v>
      </c>
      <c r="B70" s="3">
        <v>45658</v>
      </c>
      <c r="C70" t="s">
        <v>15</v>
      </c>
      <c r="D70" t="s">
        <v>18</v>
      </c>
      <c r="E70">
        <v>70937.240000000005</v>
      </c>
      <c r="F70">
        <v>3595</v>
      </c>
      <c r="G70">
        <v>0.14099999999999999</v>
      </c>
      <c r="H70">
        <v>11</v>
      </c>
      <c r="I70">
        <v>88.9</v>
      </c>
      <c r="J70">
        <v>2.83</v>
      </c>
      <c r="K70">
        <v>1</v>
      </c>
      <c r="L70">
        <v>3.3</v>
      </c>
      <c r="M70">
        <v>661927.14</v>
      </c>
      <c r="N70">
        <v>79218.570000000007</v>
      </c>
    </row>
    <row r="71" spans="1:14">
      <c r="A71" t="s">
        <v>39</v>
      </c>
      <c r="B71" s="3">
        <v>45689</v>
      </c>
      <c r="C71" t="s">
        <v>15</v>
      </c>
      <c r="D71" t="s">
        <v>18</v>
      </c>
      <c r="E71">
        <v>36813.449999999997</v>
      </c>
      <c r="F71">
        <v>2834</v>
      </c>
      <c r="G71">
        <v>0.191</v>
      </c>
      <c r="H71">
        <v>11</v>
      </c>
      <c r="I71">
        <v>81.8</v>
      </c>
      <c r="J71">
        <v>2.33</v>
      </c>
      <c r="K71">
        <v>0</v>
      </c>
      <c r="L71">
        <v>3.3</v>
      </c>
      <c r="M71">
        <v>479050.5</v>
      </c>
      <c r="N71">
        <v>53651.11</v>
      </c>
    </row>
    <row r="72" spans="1:14">
      <c r="A72" t="s">
        <v>39</v>
      </c>
      <c r="B72" s="3">
        <v>45717</v>
      </c>
      <c r="C72" t="s">
        <v>15</v>
      </c>
      <c r="D72" t="s">
        <v>18</v>
      </c>
      <c r="E72">
        <v>60571.82</v>
      </c>
      <c r="F72">
        <v>3193</v>
      </c>
      <c r="G72">
        <v>0.19700000000000001</v>
      </c>
      <c r="H72">
        <v>7</v>
      </c>
      <c r="I72">
        <v>99</v>
      </c>
      <c r="J72">
        <v>1.43</v>
      </c>
      <c r="K72">
        <v>0</v>
      </c>
      <c r="L72">
        <v>3.2</v>
      </c>
      <c r="M72">
        <v>605023.87</v>
      </c>
      <c r="N72">
        <v>98545.81</v>
      </c>
    </row>
    <row r="73" spans="1:14">
      <c r="A73" t="s">
        <v>39</v>
      </c>
      <c r="B73" s="3">
        <v>45748</v>
      </c>
      <c r="C73" t="s">
        <v>15</v>
      </c>
      <c r="D73" t="s">
        <v>18</v>
      </c>
      <c r="E73">
        <v>55081.16</v>
      </c>
      <c r="F73">
        <v>5485</v>
      </c>
      <c r="G73">
        <v>3.5999999999999997E-2</v>
      </c>
      <c r="H73">
        <v>12</v>
      </c>
      <c r="I73">
        <v>88</v>
      </c>
      <c r="J73" s="6">
        <v>4.5599999999999996</v>
      </c>
      <c r="K73">
        <v>0</v>
      </c>
      <c r="L73">
        <v>3.5</v>
      </c>
      <c r="M73">
        <v>674774.09</v>
      </c>
      <c r="N73">
        <v>141917.59</v>
      </c>
    </row>
    <row r="74" spans="1:14">
      <c r="A74" t="s">
        <v>40</v>
      </c>
      <c r="B74" s="3">
        <v>45658</v>
      </c>
      <c r="C74" t="s">
        <v>15</v>
      </c>
      <c r="D74" t="s">
        <v>16</v>
      </c>
      <c r="E74">
        <v>46201.46</v>
      </c>
      <c r="F74">
        <v>5918</v>
      </c>
      <c r="G74">
        <v>0.27700000000000002</v>
      </c>
      <c r="H74">
        <v>13</v>
      </c>
      <c r="I74">
        <v>78.8</v>
      </c>
      <c r="J74">
        <v>4.91</v>
      </c>
      <c r="K74">
        <v>0</v>
      </c>
      <c r="L74">
        <v>4.5</v>
      </c>
      <c r="M74">
        <v>616069.41</v>
      </c>
      <c r="N74">
        <v>54453.99</v>
      </c>
    </row>
    <row r="75" spans="1:14">
      <c r="A75" t="s">
        <v>40</v>
      </c>
      <c r="B75" s="3">
        <v>45689</v>
      </c>
      <c r="C75" t="s">
        <v>15</v>
      </c>
      <c r="D75" t="s">
        <v>16</v>
      </c>
      <c r="E75">
        <v>53762.92</v>
      </c>
      <c r="F75">
        <v>6821</v>
      </c>
      <c r="G75">
        <v>6.6000000000000003E-2</v>
      </c>
      <c r="H75">
        <v>19</v>
      </c>
      <c r="I75">
        <v>94.6</v>
      </c>
      <c r="J75">
        <v>7.03</v>
      </c>
      <c r="K75">
        <v>0</v>
      </c>
      <c r="L75">
        <v>4.4000000000000004</v>
      </c>
      <c r="M75">
        <v>630829.93999999994</v>
      </c>
      <c r="N75">
        <v>117090.02</v>
      </c>
    </row>
    <row r="76" spans="1:14">
      <c r="A76" t="s">
        <v>40</v>
      </c>
      <c r="B76" s="3">
        <v>45717</v>
      </c>
      <c r="C76" t="s">
        <v>15</v>
      </c>
      <c r="D76" t="s">
        <v>16</v>
      </c>
      <c r="E76">
        <v>70144.78</v>
      </c>
      <c r="F76">
        <v>6806</v>
      </c>
      <c r="G76">
        <v>0.17799999999999999</v>
      </c>
      <c r="H76">
        <v>20</v>
      </c>
      <c r="I76">
        <v>93.1</v>
      </c>
      <c r="J76">
        <v>0.28000000000000003</v>
      </c>
      <c r="K76">
        <v>1</v>
      </c>
      <c r="L76">
        <v>4.3</v>
      </c>
      <c r="M76">
        <v>788087.68</v>
      </c>
      <c r="N76">
        <v>116803.42</v>
      </c>
    </row>
    <row r="77" spans="1:14">
      <c r="A77" t="s">
        <v>40</v>
      </c>
      <c r="B77" s="3">
        <v>45748</v>
      </c>
      <c r="C77" t="s">
        <v>15</v>
      </c>
      <c r="D77" t="s">
        <v>16</v>
      </c>
      <c r="E77">
        <v>58749.63</v>
      </c>
      <c r="F77">
        <v>8252</v>
      </c>
      <c r="G77">
        <v>0.20300000000000001</v>
      </c>
      <c r="H77">
        <v>20</v>
      </c>
      <c r="I77">
        <v>85.2</v>
      </c>
      <c r="J77">
        <v>3.61</v>
      </c>
      <c r="K77">
        <v>0</v>
      </c>
      <c r="L77">
        <v>4.5</v>
      </c>
      <c r="M77">
        <v>680840.36</v>
      </c>
      <c r="N77">
        <v>68007.679999999993</v>
      </c>
    </row>
    <row r="78" spans="1:14">
      <c r="A78" t="s">
        <v>41</v>
      </c>
      <c r="B78" s="3">
        <v>45658</v>
      </c>
      <c r="C78" t="s">
        <v>24</v>
      </c>
      <c r="D78" t="s">
        <v>18</v>
      </c>
      <c r="E78">
        <v>56973.18</v>
      </c>
      <c r="F78">
        <v>6662</v>
      </c>
      <c r="G78">
        <v>0.1</v>
      </c>
      <c r="H78">
        <v>15</v>
      </c>
      <c r="I78">
        <v>77.7</v>
      </c>
      <c r="J78">
        <v>7.52</v>
      </c>
      <c r="K78">
        <v>1</v>
      </c>
      <c r="L78">
        <v>3.2</v>
      </c>
      <c r="M78">
        <v>643657.47</v>
      </c>
      <c r="N78">
        <v>87022.45</v>
      </c>
    </row>
    <row r="79" spans="1:14">
      <c r="A79" t="s">
        <v>41</v>
      </c>
      <c r="B79" s="3">
        <v>45689</v>
      </c>
      <c r="C79" t="s">
        <v>24</v>
      </c>
      <c r="D79" t="s">
        <v>18</v>
      </c>
      <c r="E79">
        <v>54872.82</v>
      </c>
      <c r="F79">
        <v>5962</v>
      </c>
      <c r="G79">
        <v>6.4000000000000001E-2</v>
      </c>
      <c r="H79">
        <v>12</v>
      </c>
      <c r="I79">
        <v>85.4</v>
      </c>
      <c r="J79">
        <v>2.58</v>
      </c>
      <c r="K79">
        <v>0</v>
      </c>
      <c r="L79">
        <v>2.9</v>
      </c>
      <c r="M79">
        <v>691112.6</v>
      </c>
      <c r="N79">
        <v>109212.83</v>
      </c>
    </row>
    <row r="80" spans="1:14">
      <c r="A80" t="s">
        <v>41</v>
      </c>
      <c r="B80" s="3">
        <v>45717</v>
      </c>
      <c r="C80" t="s">
        <v>24</v>
      </c>
      <c r="D80" t="s">
        <v>18</v>
      </c>
      <c r="E80">
        <v>80562.81</v>
      </c>
      <c r="F80">
        <v>7470</v>
      </c>
      <c r="G80">
        <v>0.17199999999999999</v>
      </c>
      <c r="H80">
        <v>16</v>
      </c>
      <c r="I80">
        <v>83.5</v>
      </c>
      <c r="J80">
        <v>2.29</v>
      </c>
      <c r="K80">
        <v>0</v>
      </c>
      <c r="L80">
        <v>3.3</v>
      </c>
      <c r="M80">
        <v>776922.17</v>
      </c>
      <c r="N80">
        <v>150701.93</v>
      </c>
    </row>
    <row r="81" spans="1:14">
      <c r="A81" t="s">
        <v>41</v>
      </c>
      <c r="B81" s="3">
        <v>45748</v>
      </c>
      <c r="C81" t="s">
        <v>24</v>
      </c>
      <c r="D81" t="s">
        <v>18</v>
      </c>
      <c r="E81">
        <v>77999.899999999994</v>
      </c>
      <c r="F81">
        <v>5974</v>
      </c>
      <c r="G81">
        <v>0.252</v>
      </c>
      <c r="H81">
        <v>14</v>
      </c>
      <c r="I81">
        <v>81.3</v>
      </c>
      <c r="J81">
        <v>2.39</v>
      </c>
      <c r="K81">
        <v>0</v>
      </c>
      <c r="L81">
        <v>3.2</v>
      </c>
      <c r="M81">
        <v>636561.34</v>
      </c>
      <c r="N81">
        <v>93861.06</v>
      </c>
    </row>
    <row r="82" spans="1:14">
      <c r="A82" t="s">
        <v>42</v>
      </c>
      <c r="B82" s="3">
        <v>45658</v>
      </c>
      <c r="C82" t="s">
        <v>27</v>
      </c>
      <c r="D82" t="s">
        <v>28</v>
      </c>
      <c r="E82">
        <v>60881.01</v>
      </c>
      <c r="F82">
        <v>5410</v>
      </c>
      <c r="G82">
        <v>0.17899999999999999</v>
      </c>
      <c r="H82">
        <v>15</v>
      </c>
      <c r="I82">
        <v>83.9</v>
      </c>
      <c r="J82">
        <v>5.24</v>
      </c>
      <c r="K82">
        <v>0</v>
      </c>
      <c r="L82">
        <v>4.5999999999999996</v>
      </c>
      <c r="M82">
        <v>621369.57999999996</v>
      </c>
      <c r="N82">
        <v>85493.64</v>
      </c>
    </row>
    <row r="83" spans="1:14">
      <c r="A83" t="s">
        <v>42</v>
      </c>
      <c r="B83" s="3">
        <v>45689</v>
      </c>
      <c r="C83" t="s">
        <v>27</v>
      </c>
      <c r="D83" t="s">
        <v>28</v>
      </c>
      <c r="E83">
        <v>60628.38</v>
      </c>
      <c r="F83">
        <v>4451</v>
      </c>
      <c r="G83">
        <v>9.5000000000000001E-2</v>
      </c>
      <c r="H83">
        <v>10</v>
      </c>
      <c r="I83">
        <v>89.6</v>
      </c>
      <c r="J83">
        <v>3.17</v>
      </c>
      <c r="K83">
        <v>0</v>
      </c>
      <c r="L83">
        <v>4.5999999999999996</v>
      </c>
      <c r="M83">
        <v>682208.01</v>
      </c>
      <c r="N83">
        <v>110318.84</v>
      </c>
    </row>
    <row r="84" spans="1:14">
      <c r="A84" t="s">
        <v>42</v>
      </c>
      <c r="B84" s="3">
        <v>45717</v>
      </c>
      <c r="C84" t="s">
        <v>27</v>
      </c>
      <c r="D84" t="s">
        <v>28</v>
      </c>
      <c r="E84">
        <v>72731.14</v>
      </c>
      <c r="F84">
        <v>4644</v>
      </c>
      <c r="G84">
        <v>8.4000000000000005E-2</v>
      </c>
      <c r="H84">
        <v>15</v>
      </c>
      <c r="I84">
        <v>87.1</v>
      </c>
      <c r="J84">
        <v>2.66</v>
      </c>
      <c r="K84">
        <v>0</v>
      </c>
      <c r="L84">
        <v>4.5999999999999996</v>
      </c>
      <c r="M84">
        <v>727241.86</v>
      </c>
      <c r="N84">
        <v>155810.29999999999</v>
      </c>
    </row>
    <row r="85" spans="1:14">
      <c r="A85" t="s">
        <v>42</v>
      </c>
      <c r="B85" s="3">
        <v>45748</v>
      </c>
      <c r="C85" t="s">
        <v>27</v>
      </c>
      <c r="D85" t="s">
        <v>28</v>
      </c>
      <c r="E85">
        <v>36475.71</v>
      </c>
      <c r="F85">
        <v>3559</v>
      </c>
      <c r="G85">
        <v>0.03</v>
      </c>
      <c r="H85">
        <v>8</v>
      </c>
      <c r="I85">
        <v>83.6</v>
      </c>
      <c r="J85">
        <v>1.41</v>
      </c>
      <c r="K85">
        <v>0</v>
      </c>
      <c r="L85">
        <v>4.2</v>
      </c>
      <c r="M85">
        <v>569100.78</v>
      </c>
      <c r="N85">
        <v>104808.78</v>
      </c>
    </row>
    <row r="86" spans="1:14">
      <c r="A86" t="s">
        <v>43</v>
      </c>
      <c r="B86" s="3">
        <v>45658</v>
      </c>
      <c r="C86" t="s">
        <v>27</v>
      </c>
      <c r="D86" t="s">
        <v>18</v>
      </c>
      <c r="E86">
        <v>55388.11</v>
      </c>
      <c r="F86">
        <v>3091</v>
      </c>
      <c r="G86">
        <v>0.108</v>
      </c>
      <c r="H86">
        <v>7</v>
      </c>
      <c r="I86">
        <v>85.4</v>
      </c>
      <c r="J86">
        <v>7.34</v>
      </c>
      <c r="K86">
        <v>0</v>
      </c>
      <c r="L86">
        <v>4.9000000000000004</v>
      </c>
      <c r="M86">
        <v>574436.29</v>
      </c>
      <c r="N86">
        <v>80271.990000000005</v>
      </c>
    </row>
    <row r="87" spans="1:14">
      <c r="A87" t="s">
        <v>43</v>
      </c>
      <c r="B87" s="3">
        <v>45689</v>
      </c>
      <c r="C87" t="s">
        <v>27</v>
      </c>
      <c r="D87" t="s">
        <v>18</v>
      </c>
      <c r="E87">
        <v>88443.77</v>
      </c>
      <c r="F87">
        <v>4004</v>
      </c>
      <c r="G87">
        <v>0.20599999999999999</v>
      </c>
      <c r="H87">
        <v>11</v>
      </c>
      <c r="I87">
        <v>91.9</v>
      </c>
      <c r="J87">
        <v>5.95</v>
      </c>
      <c r="K87">
        <v>0</v>
      </c>
      <c r="L87" s="6">
        <v>3.92</v>
      </c>
      <c r="M87">
        <v>611766.72</v>
      </c>
      <c r="N87">
        <v>88275.61</v>
      </c>
    </row>
    <row r="88" spans="1:14">
      <c r="A88" t="s">
        <v>43</v>
      </c>
      <c r="B88" s="3">
        <v>45717</v>
      </c>
      <c r="C88" t="s">
        <v>27</v>
      </c>
      <c r="D88" t="s">
        <v>18</v>
      </c>
      <c r="E88">
        <v>78231.91</v>
      </c>
      <c r="F88">
        <v>3788</v>
      </c>
      <c r="G88">
        <v>5.8999999999999997E-2</v>
      </c>
      <c r="H88">
        <v>11</v>
      </c>
      <c r="I88">
        <v>88.5</v>
      </c>
      <c r="J88">
        <v>15.51</v>
      </c>
      <c r="K88">
        <v>0</v>
      </c>
      <c r="L88">
        <v>4.3</v>
      </c>
      <c r="M88">
        <v>614596.31999999995</v>
      </c>
      <c r="N88">
        <v>131199.41</v>
      </c>
    </row>
    <row r="89" spans="1:14">
      <c r="A89" t="s">
        <v>43</v>
      </c>
      <c r="B89" s="3">
        <v>45748</v>
      </c>
      <c r="C89" t="s">
        <v>27</v>
      </c>
      <c r="D89" t="s">
        <v>18</v>
      </c>
      <c r="E89">
        <v>18996.32</v>
      </c>
      <c r="F89">
        <v>1260</v>
      </c>
      <c r="G89">
        <v>0.14499999999999999</v>
      </c>
      <c r="H89">
        <v>9</v>
      </c>
      <c r="I89">
        <v>86.4</v>
      </c>
      <c r="J89">
        <v>4.3099999999999996</v>
      </c>
      <c r="K89">
        <v>0</v>
      </c>
      <c r="L89">
        <v>4.5999999999999996</v>
      </c>
      <c r="M89">
        <v>450711.92</v>
      </c>
      <c r="N89">
        <v>90043.76</v>
      </c>
    </row>
    <row r="90" spans="1:14">
      <c r="A90" t="s">
        <v>44</v>
      </c>
      <c r="B90" s="3">
        <v>45658</v>
      </c>
      <c r="C90" t="s">
        <v>24</v>
      </c>
      <c r="D90" t="s">
        <v>28</v>
      </c>
      <c r="E90">
        <v>50517.94</v>
      </c>
      <c r="F90">
        <v>7024</v>
      </c>
      <c r="G90">
        <v>2.9000000000000001E-2</v>
      </c>
      <c r="H90">
        <v>18</v>
      </c>
      <c r="I90">
        <v>79.2</v>
      </c>
      <c r="J90">
        <v>6.61</v>
      </c>
      <c r="K90">
        <v>1</v>
      </c>
      <c r="L90">
        <v>4.0999999999999996</v>
      </c>
      <c r="M90">
        <v>711213.46</v>
      </c>
      <c r="N90">
        <v>105863.26</v>
      </c>
    </row>
    <row r="91" spans="1:14">
      <c r="A91" t="s">
        <v>44</v>
      </c>
      <c r="B91" s="3">
        <v>45689</v>
      </c>
      <c r="C91" t="s">
        <v>24</v>
      </c>
      <c r="D91" t="s">
        <v>28</v>
      </c>
      <c r="E91">
        <v>141540.29</v>
      </c>
      <c r="F91">
        <v>5400</v>
      </c>
      <c r="G91">
        <v>1.2999999999999999E-2</v>
      </c>
      <c r="H91">
        <v>12</v>
      </c>
      <c r="I91">
        <v>87</v>
      </c>
      <c r="J91">
        <v>4.26</v>
      </c>
      <c r="K91">
        <v>0</v>
      </c>
      <c r="L91">
        <v>4.5</v>
      </c>
      <c r="M91">
        <v>627171.9</v>
      </c>
      <c r="N91">
        <v>105772.75</v>
      </c>
    </row>
    <row r="92" spans="1:14">
      <c r="A92" t="s">
        <v>44</v>
      </c>
      <c r="B92" s="3">
        <v>45717</v>
      </c>
      <c r="C92" t="s">
        <v>24</v>
      </c>
      <c r="D92" t="s">
        <v>28</v>
      </c>
      <c r="E92">
        <v>82116.19</v>
      </c>
      <c r="F92">
        <v>5988</v>
      </c>
      <c r="G92">
        <v>0.04</v>
      </c>
      <c r="H92">
        <v>17</v>
      </c>
      <c r="I92">
        <v>91.8</v>
      </c>
      <c r="J92">
        <v>5.75</v>
      </c>
      <c r="K92">
        <v>0</v>
      </c>
      <c r="L92">
        <v>4.7</v>
      </c>
      <c r="M92">
        <v>739852.58</v>
      </c>
      <c r="N92">
        <v>129386.43</v>
      </c>
    </row>
    <row r="93" spans="1:14">
      <c r="A93" t="s">
        <v>44</v>
      </c>
      <c r="B93" s="3">
        <v>45748</v>
      </c>
      <c r="C93" t="s">
        <v>24</v>
      </c>
      <c r="D93" t="s">
        <v>28</v>
      </c>
      <c r="E93">
        <v>31207.51</v>
      </c>
      <c r="F93">
        <v>3701</v>
      </c>
      <c r="G93">
        <v>4.2999999999999997E-2</v>
      </c>
      <c r="H93">
        <v>11</v>
      </c>
      <c r="I93">
        <v>84.7</v>
      </c>
      <c r="J93">
        <v>0.33</v>
      </c>
      <c r="K93">
        <v>0</v>
      </c>
      <c r="L93">
        <v>4.3</v>
      </c>
      <c r="M93">
        <v>586307.22</v>
      </c>
      <c r="N93">
        <v>73927.850000000006</v>
      </c>
    </row>
    <row r="94" spans="1:14">
      <c r="A94" t="s">
        <v>45</v>
      </c>
      <c r="B94" s="3">
        <v>45658</v>
      </c>
      <c r="C94" t="s">
        <v>27</v>
      </c>
      <c r="D94" t="s">
        <v>16</v>
      </c>
      <c r="E94">
        <v>38966.589999999997</v>
      </c>
      <c r="F94">
        <v>4509</v>
      </c>
      <c r="G94">
        <v>0.19400000000000001</v>
      </c>
      <c r="H94">
        <v>14</v>
      </c>
      <c r="I94">
        <v>91.1</v>
      </c>
      <c r="J94">
        <v>2.92</v>
      </c>
      <c r="K94">
        <v>0</v>
      </c>
      <c r="L94">
        <v>4.5999999999999996</v>
      </c>
      <c r="M94">
        <v>585937.48</v>
      </c>
      <c r="N94">
        <v>82624.2</v>
      </c>
    </row>
    <row r="95" spans="1:14">
      <c r="A95" t="s">
        <v>45</v>
      </c>
      <c r="B95" s="3">
        <v>45689</v>
      </c>
      <c r="C95" t="s">
        <v>27</v>
      </c>
      <c r="D95" t="s">
        <v>16</v>
      </c>
      <c r="E95">
        <v>67439.3</v>
      </c>
      <c r="F95">
        <v>6477</v>
      </c>
      <c r="G95">
        <v>0</v>
      </c>
      <c r="H95">
        <v>16</v>
      </c>
      <c r="I95">
        <v>90.9</v>
      </c>
      <c r="J95">
        <v>1.64</v>
      </c>
      <c r="K95">
        <v>0</v>
      </c>
      <c r="L95">
        <v>4.5</v>
      </c>
      <c r="M95">
        <v>753473.55</v>
      </c>
      <c r="N95">
        <v>151527.22</v>
      </c>
    </row>
    <row r="96" spans="1:14">
      <c r="A96" t="s">
        <v>45</v>
      </c>
      <c r="B96" s="3">
        <v>45717</v>
      </c>
      <c r="C96" t="s">
        <v>27</v>
      </c>
      <c r="D96" t="s">
        <v>16</v>
      </c>
      <c r="E96">
        <v>86421.88</v>
      </c>
      <c r="F96">
        <v>7970</v>
      </c>
      <c r="G96">
        <v>7.2999999999999995E-2</v>
      </c>
      <c r="H96">
        <v>17</v>
      </c>
      <c r="I96">
        <v>91.3</v>
      </c>
      <c r="J96">
        <v>0.8</v>
      </c>
      <c r="K96">
        <v>0</v>
      </c>
      <c r="L96">
        <v>5</v>
      </c>
      <c r="M96">
        <v>838250.32</v>
      </c>
      <c r="N96">
        <v>122939.34</v>
      </c>
    </row>
    <row r="97" spans="1:14">
      <c r="A97" t="s">
        <v>45</v>
      </c>
      <c r="B97" s="3">
        <v>45748</v>
      </c>
      <c r="C97" t="s">
        <v>27</v>
      </c>
      <c r="D97" t="s">
        <v>16</v>
      </c>
      <c r="E97">
        <v>9534.65</v>
      </c>
      <c r="F97">
        <v>6057</v>
      </c>
      <c r="G97">
        <v>7.3999999999999996E-2</v>
      </c>
      <c r="H97">
        <v>15</v>
      </c>
      <c r="I97">
        <v>94.1</v>
      </c>
      <c r="J97">
        <v>5.79</v>
      </c>
      <c r="K97">
        <v>0</v>
      </c>
      <c r="L97">
        <v>4.5</v>
      </c>
      <c r="M97">
        <v>607898.12</v>
      </c>
      <c r="N97">
        <v>135404.85</v>
      </c>
    </row>
    <row r="98" spans="1:14">
      <c r="A98" t="s">
        <v>46</v>
      </c>
      <c r="B98" s="3">
        <v>45658</v>
      </c>
      <c r="C98" t="s">
        <v>27</v>
      </c>
      <c r="D98" t="s">
        <v>28</v>
      </c>
      <c r="E98">
        <v>61132.07</v>
      </c>
      <c r="F98">
        <v>6394</v>
      </c>
      <c r="G98">
        <v>0.16300000000000001</v>
      </c>
      <c r="H98">
        <v>19</v>
      </c>
      <c r="I98">
        <v>91</v>
      </c>
      <c r="J98">
        <v>19.600000000000001</v>
      </c>
      <c r="K98">
        <v>0</v>
      </c>
      <c r="L98">
        <v>4.4000000000000004</v>
      </c>
      <c r="M98">
        <v>691113.62</v>
      </c>
      <c r="N98">
        <v>135145.44</v>
      </c>
    </row>
    <row r="99" spans="1:14">
      <c r="A99" t="s">
        <v>46</v>
      </c>
      <c r="B99" s="3">
        <v>45689</v>
      </c>
      <c r="C99" t="s">
        <v>27</v>
      </c>
      <c r="D99" t="s">
        <v>28</v>
      </c>
      <c r="E99">
        <v>78839.39</v>
      </c>
      <c r="F99">
        <v>5150</v>
      </c>
      <c r="G99">
        <v>0.17100000000000001</v>
      </c>
      <c r="H99">
        <v>13</v>
      </c>
      <c r="I99">
        <v>85.8</v>
      </c>
      <c r="J99">
        <v>7.57</v>
      </c>
      <c r="K99">
        <v>0</v>
      </c>
      <c r="L99">
        <v>4.3</v>
      </c>
      <c r="M99">
        <v>735509.4</v>
      </c>
      <c r="N99">
        <v>83895.96</v>
      </c>
    </row>
    <row r="100" spans="1:14">
      <c r="A100" t="s">
        <v>46</v>
      </c>
      <c r="B100" s="3">
        <v>45717</v>
      </c>
      <c r="C100" t="s">
        <v>27</v>
      </c>
      <c r="D100" t="s">
        <v>28</v>
      </c>
      <c r="E100">
        <v>38752.800000000003</v>
      </c>
      <c r="F100">
        <v>4712</v>
      </c>
      <c r="G100">
        <v>7.4999999999999997E-2</v>
      </c>
      <c r="H100">
        <v>15</v>
      </c>
      <c r="I100">
        <v>89.7</v>
      </c>
      <c r="J100" s="6">
        <v>4.5599999999999996</v>
      </c>
      <c r="K100">
        <v>0</v>
      </c>
      <c r="L100">
        <v>4.3</v>
      </c>
      <c r="M100">
        <v>605775.32999999996</v>
      </c>
      <c r="N100">
        <v>107194.6</v>
      </c>
    </row>
    <row r="101" spans="1:14">
      <c r="A101" t="s">
        <v>46</v>
      </c>
      <c r="B101" s="3">
        <v>45748</v>
      </c>
      <c r="C101" t="s">
        <v>27</v>
      </c>
      <c r="D101" t="s">
        <v>28</v>
      </c>
      <c r="E101">
        <v>55101.1</v>
      </c>
      <c r="F101">
        <v>5281</v>
      </c>
      <c r="G101">
        <v>0.189</v>
      </c>
      <c r="H101">
        <v>11</v>
      </c>
      <c r="I101">
        <v>91</v>
      </c>
      <c r="J101">
        <v>2.7</v>
      </c>
      <c r="K101">
        <v>0</v>
      </c>
      <c r="L101">
        <v>4.4000000000000004</v>
      </c>
      <c r="M101">
        <v>675177.68</v>
      </c>
      <c r="N101">
        <v>105628.68</v>
      </c>
    </row>
    <row r="102" spans="1:14">
      <c r="A102" t="s">
        <v>47</v>
      </c>
      <c r="B102" s="3">
        <v>45658</v>
      </c>
      <c r="C102" t="s">
        <v>15</v>
      </c>
      <c r="D102" t="s">
        <v>28</v>
      </c>
      <c r="E102">
        <v>53084.76</v>
      </c>
      <c r="F102">
        <v>3642</v>
      </c>
      <c r="G102">
        <v>0.15</v>
      </c>
      <c r="H102">
        <v>12</v>
      </c>
      <c r="I102">
        <v>91.4</v>
      </c>
      <c r="J102">
        <v>0.2</v>
      </c>
      <c r="K102">
        <v>0</v>
      </c>
      <c r="L102">
        <v>4.4000000000000004</v>
      </c>
      <c r="M102">
        <v>635181.35</v>
      </c>
      <c r="N102">
        <v>83341.25</v>
      </c>
    </row>
    <row r="103" spans="1:14">
      <c r="A103" t="s">
        <v>47</v>
      </c>
      <c r="B103" s="3">
        <v>45689</v>
      </c>
      <c r="C103" t="s">
        <v>15</v>
      </c>
      <c r="D103" t="s">
        <v>28</v>
      </c>
      <c r="E103">
        <v>63101.59</v>
      </c>
      <c r="F103">
        <v>4373</v>
      </c>
      <c r="G103">
        <v>0.17299999999999999</v>
      </c>
      <c r="H103">
        <v>14</v>
      </c>
      <c r="I103">
        <v>90.4</v>
      </c>
      <c r="J103">
        <v>7.87</v>
      </c>
      <c r="K103">
        <v>0</v>
      </c>
      <c r="L103">
        <v>4.7</v>
      </c>
      <c r="M103">
        <v>586626.93999999994</v>
      </c>
      <c r="N103">
        <v>86498.55</v>
      </c>
    </row>
    <row r="104" spans="1:14">
      <c r="A104" t="s">
        <v>47</v>
      </c>
      <c r="B104" s="3">
        <v>45717</v>
      </c>
      <c r="C104" t="s">
        <v>15</v>
      </c>
      <c r="D104" t="s">
        <v>28</v>
      </c>
      <c r="E104">
        <v>90084.4</v>
      </c>
      <c r="F104">
        <v>6832</v>
      </c>
      <c r="G104">
        <v>0.185</v>
      </c>
      <c r="H104">
        <v>14</v>
      </c>
      <c r="I104">
        <v>80.5</v>
      </c>
      <c r="J104">
        <v>0.77</v>
      </c>
      <c r="K104">
        <v>1</v>
      </c>
      <c r="L104">
        <v>4.4000000000000004</v>
      </c>
      <c r="M104">
        <v>740102.64</v>
      </c>
      <c r="N104">
        <v>114299.07</v>
      </c>
    </row>
    <row r="105" spans="1:14">
      <c r="A105" t="s">
        <v>47</v>
      </c>
      <c r="B105" s="3">
        <v>45748</v>
      </c>
      <c r="C105" t="s">
        <v>15</v>
      </c>
      <c r="D105" t="s">
        <v>28</v>
      </c>
      <c r="E105">
        <v>32266.639999999999</v>
      </c>
      <c r="F105">
        <v>2414</v>
      </c>
      <c r="G105">
        <v>0.08</v>
      </c>
      <c r="H105">
        <v>7</v>
      </c>
      <c r="I105">
        <v>92.1</v>
      </c>
      <c r="J105">
        <v>1.48</v>
      </c>
      <c r="K105">
        <v>0</v>
      </c>
      <c r="L105">
        <v>5</v>
      </c>
      <c r="M105">
        <v>625514.04</v>
      </c>
      <c r="N105">
        <v>120685.08</v>
      </c>
    </row>
    <row r="106" spans="1:14">
      <c r="A106" t="s">
        <v>48</v>
      </c>
      <c r="B106" s="3">
        <v>45658</v>
      </c>
      <c r="C106" t="s">
        <v>27</v>
      </c>
      <c r="D106" t="s">
        <v>18</v>
      </c>
      <c r="E106">
        <v>57919.07</v>
      </c>
      <c r="F106">
        <v>7374</v>
      </c>
      <c r="G106">
        <v>0.10299999999999999</v>
      </c>
      <c r="H106">
        <v>21</v>
      </c>
      <c r="I106">
        <v>82.3</v>
      </c>
      <c r="J106">
        <v>2.87</v>
      </c>
      <c r="K106">
        <v>0</v>
      </c>
      <c r="L106">
        <v>2.9</v>
      </c>
      <c r="M106">
        <v>727227.2</v>
      </c>
      <c r="N106">
        <v>121292.01</v>
      </c>
    </row>
    <row r="107" spans="1:14">
      <c r="A107" t="s">
        <v>48</v>
      </c>
      <c r="B107" s="3">
        <v>45689</v>
      </c>
      <c r="C107" t="s">
        <v>27</v>
      </c>
      <c r="D107" t="s">
        <v>18</v>
      </c>
      <c r="E107">
        <v>74679.350000000006</v>
      </c>
      <c r="F107">
        <v>8739</v>
      </c>
      <c r="G107">
        <v>5.6000000000000001E-2</v>
      </c>
      <c r="H107">
        <v>21</v>
      </c>
      <c r="I107">
        <v>91.8</v>
      </c>
      <c r="J107">
        <v>2.83</v>
      </c>
      <c r="K107">
        <v>0</v>
      </c>
      <c r="L107">
        <v>3</v>
      </c>
      <c r="M107">
        <v>783797.89</v>
      </c>
      <c r="N107">
        <v>157620.70000000001</v>
      </c>
    </row>
    <row r="108" spans="1:14">
      <c r="A108" t="s">
        <v>48</v>
      </c>
      <c r="B108" s="3">
        <v>45717</v>
      </c>
      <c r="C108" t="s">
        <v>27</v>
      </c>
      <c r="D108" t="s">
        <v>18</v>
      </c>
      <c r="E108">
        <v>64294.23</v>
      </c>
      <c r="F108">
        <v>6992</v>
      </c>
      <c r="G108">
        <v>0.13300000000000001</v>
      </c>
      <c r="H108">
        <v>14</v>
      </c>
      <c r="I108">
        <v>94.1</v>
      </c>
      <c r="J108">
        <v>0.25</v>
      </c>
      <c r="K108">
        <v>0</v>
      </c>
      <c r="L108">
        <v>3</v>
      </c>
      <c r="M108">
        <v>795153.84</v>
      </c>
      <c r="N108">
        <v>143194.21</v>
      </c>
    </row>
    <row r="109" spans="1:14">
      <c r="A109" t="s">
        <v>48</v>
      </c>
      <c r="B109" s="3">
        <v>45748</v>
      </c>
      <c r="C109" t="s">
        <v>27</v>
      </c>
      <c r="D109" t="s">
        <v>18</v>
      </c>
      <c r="E109">
        <v>31042.03</v>
      </c>
      <c r="F109">
        <v>7107</v>
      </c>
      <c r="G109">
        <v>5.0999999999999997E-2</v>
      </c>
      <c r="H109">
        <v>15</v>
      </c>
      <c r="I109">
        <v>87</v>
      </c>
      <c r="J109">
        <v>13.33</v>
      </c>
      <c r="K109">
        <v>0</v>
      </c>
      <c r="L109">
        <v>3.2</v>
      </c>
      <c r="M109">
        <v>665594.93999999994</v>
      </c>
      <c r="N109">
        <v>127597.34</v>
      </c>
    </row>
    <row r="110" spans="1:14">
      <c r="A110" t="s">
        <v>49</v>
      </c>
      <c r="B110" s="3">
        <v>45658</v>
      </c>
      <c r="C110" t="s">
        <v>15</v>
      </c>
      <c r="D110" t="s">
        <v>28</v>
      </c>
      <c r="E110">
        <v>75265.02</v>
      </c>
      <c r="F110">
        <v>6975</v>
      </c>
      <c r="G110">
        <v>0.157</v>
      </c>
      <c r="H110">
        <v>20</v>
      </c>
      <c r="I110">
        <v>73.8</v>
      </c>
      <c r="J110">
        <v>6.35</v>
      </c>
      <c r="K110">
        <v>1</v>
      </c>
      <c r="L110">
        <v>3.8</v>
      </c>
      <c r="M110">
        <v>709478.39</v>
      </c>
      <c r="N110">
        <v>71294.27</v>
      </c>
    </row>
    <row r="111" spans="1:14">
      <c r="A111" t="s">
        <v>49</v>
      </c>
      <c r="B111" s="3">
        <v>45689</v>
      </c>
      <c r="C111" t="s">
        <v>15</v>
      </c>
      <c r="D111" t="s">
        <v>28</v>
      </c>
      <c r="E111">
        <v>69411.7</v>
      </c>
      <c r="F111">
        <v>5493</v>
      </c>
      <c r="G111">
        <v>0.29199999999999998</v>
      </c>
      <c r="H111">
        <v>13</v>
      </c>
      <c r="I111">
        <v>86.5</v>
      </c>
      <c r="J111">
        <v>6.69</v>
      </c>
      <c r="K111">
        <v>0</v>
      </c>
      <c r="L111">
        <v>3.8</v>
      </c>
      <c r="M111">
        <v>664162.49</v>
      </c>
      <c r="N111">
        <v>98291.06</v>
      </c>
    </row>
    <row r="112" spans="1:14">
      <c r="A112" t="s">
        <v>49</v>
      </c>
      <c r="B112" s="3">
        <v>45717</v>
      </c>
      <c r="C112" t="s">
        <v>15</v>
      </c>
      <c r="D112" t="s">
        <v>28</v>
      </c>
      <c r="E112">
        <v>51056.15</v>
      </c>
      <c r="F112">
        <v>5686</v>
      </c>
      <c r="G112">
        <v>8.8999999999999996E-2</v>
      </c>
      <c r="H112">
        <v>13</v>
      </c>
      <c r="I112">
        <v>89.9</v>
      </c>
      <c r="J112">
        <v>1.28</v>
      </c>
      <c r="K112">
        <v>0</v>
      </c>
      <c r="L112">
        <v>4.2</v>
      </c>
      <c r="M112">
        <v>633494.21</v>
      </c>
      <c r="N112">
        <v>105739.47</v>
      </c>
    </row>
    <row r="113" spans="1:14">
      <c r="A113" t="s">
        <v>49</v>
      </c>
      <c r="B113" s="3">
        <v>45748</v>
      </c>
      <c r="C113" t="s">
        <v>15</v>
      </c>
      <c r="D113" t="s">
        <v>28</v>
      </c>
      <c r="E113">
        <v>52758.01</v>
      </c>
      <c r="F113">
        <v>4063</v>
      </c>
      <c r="G113">
        <v>5.7000000000000002E-2</v>
      </c>
      <c r="H113">
        <v>12</v>
      </c>
      <c r="I113">
        <v>91.7</v>
      </c>
      <c r="J113">
        <v>0.92</v>
      </c>
      <c r="K113">
        <v>0</v>
      </c>
      <c r="L113">
        <v>3.5</v>
      </c>
      <c r="M113">
        <v>713611.16</v>
      </c>
      <c r="N113">
        <v>129717.18</v>
      </c>
    </row>
    <row r="114" spans="1:14">
      <c r="A114" t="s">
        <v>50</v>
      </c>
      <c r="B114" s="3">
        <v>45658</v>
      </c>
      <c r="C114" t="s">
        <v>27</v>
      </c>
      <c r="D114" t="s">
        <v>28</v>
      </c>
      <c r="E114">
        <v>61426.04</v>
      </c>
      <c r="F114">
        <v>8966</v>
      </c>
      <c r="G114">
        <v>0.17299999999999999</v>
      </c>
      <c r="H114">
        <v>22</v>
      </c>
      <c r="I114">
        <v>76.400000000000006</v>
      </c>
      <c r="J114">
        <v>1.05</v>
      </c>
      <c r="K114">
        <v>0</v>
      </c>
      <c r="L114">
        <v>3.1</v>
      </c>
      <c r="M114">
        <v>778397.97</v>
      </c>
      <c r="N114">
        <v>120044.41</v>
      </c>
    </row>
    <row r="115" spans="1:14">
      <c r="A115" t="s">
        <v>50</v>
      </c>
      <c r="B115" s="3">
        <v>45689</v>
      </c>
      <c r="C115" t="s">
        <v>27</v>
      </c>
      <c r="D115" t="s">
        <v>28</v>
      </c>
      <c r="E115">
        <v>80176.34</v>
      </c>
      <c r="F115">
        <v>9489</v>
      </c>
      <c r="G115">
        <v>0.14199999999999999</v>
      </c>
      <c r="H115">
        <v>22</v>
      </c>
      <c r="I115">
        <v>94.3</v>
      </c>
      <c r="J115">
        <v>2.67</v>
      </c>
      <c r="K115">
        <v>0</v>
      </c>
      <c r="L115">
        <v>3.5</v>
      </c>
      <c r="M115">
        <v>873380.02</v>
      </c>
      <c r="N115">
        <v>149734.76</v>
      </c>
    </row>
    <row r="116" spans="1:14">
      <c r="A116" t="s">
        <v>50</v>
      </c>
      <c r="B116" s="3">
        <v>45717</v>
      </c>
      <c r="C116" t="s">
        <v>27</v>
      </c>
      <c r="D116" t="s">
        <v>28</v>
      </c>
      <c r="E116">
        <v>33605.18</v>
      </c>
      <c r="F116">
        <v>9225</v>
      </c>
      <c r="G116">
        <v>0.159</v>
      </c>
      <c r="H116">
        <v>23</v>
      </c>
      <c r="I116">
        <v>88.4</v>
      </c>
      <c r="J116">
        <v>5.91</v>
      </c>
      <c r="K116">
        <v>0</v>
      </c>
      <c r="L116">
        <v>2.8</v>
      </c>
      <c r="M116">
        <v>697287.9</v>
      </c>
      <c r="N116">
        <v>128208.33</v>
      </c>
    </row>
    <row r="117" spans="1:14">
      <c r="A117" t="s">
        <v>50</v>
      </c>
      <c r="B117" s="3">
        <v>45748</v>
      </c>
      <c r="C117" t="s">
        <v>27</v>
      </c>
      <c r="D117" t="s">
        <v>28</v>
      </c>
      <c r="E117">
        <v>25990.54</v>
      </c>
      <c r="F117">
        <v>9249</v>
      </c>
      <c r="G117">
        <v>0.13900000000000001</v>
      </c>
      <c r="H117">
        <v>23</v>
      </c>
      <c r="I117">
        <v>92.5</v>
      </c>
      <c r="J117">
        <v>6.37</v>
      </c>
      <c r="K117">
        <v>0</v>
      </c>
      <c r="L117">
        <v>3.3</v>
      </c>
      <c r="M117">
        <v>718074.79</v>
      </c>
      <c r="N117">
        <v>115819.87</v>
      </c>
    </row>
    <row r="118" spans="1:14">
      <c r="A118" t="s">
        <v>51</v>
      </c>
      <c r="B118" s="3">
        <v>45658</v>
      </c>
      <c r="C118" t="s">
        <v>27</v>
      </c>
      <c r="D118" t="s">
        <v>16</v>
      </c>
      <c r="E118">
        <v>43685.14</v>
      </c>
      <c r="F118">
        <v>7821</v>
      </c>
      <c r="G118">
        <v>0.19</v>
      </c>
      <c r="H118">
        <v>17</v>
      </c>
      <c r="I118">
        <v>91</v>
      </c>
      <c r="J118">
        <v>2.4900000000000002</v>
      </c>
      <c r="K118">
        <v>1</v>
      </c>
      <c r="L118">
        <v>4.7</v>
      </c>
      <c r="M118">
        <v>714942.43</v>
      </c>
      <c r="N118">
        <v>94697.71</v>
      </c>
    </row>
    <row r="119" spans="1:14">
      <c r="A119" t="s">
        <v>51</v>
      </c>
      <c r="B119" s="3">
        <v>45689</v>
      </c>
      <c r="C119" t="s">
        <v>27</v>
      </c>
      <c r="D119" t="s">
        <v>16</v>
      </c>
      <c r="E119">
        <v>57360.01</v>
      </c>
      <c r="F119">
        <v>8434</v>
      </c>
      <c r="G119">
        <v>0.151</v>
      </c>
      <c r="H119">
        <v>19</v>
      </c>
      <c r="I119">
        <v>84.1</v>
      </c>
      <c r="J119">
        <v>1.56</v>
      </c>
      <c r="K119">
        <v>0</v>
      </c>
      <c r="L119">
        <v>4.7</v>
      </c>
      <c r="M119">
        <v>820519.04</v>
      </c>
      <c r="N119">
        <v>99035.88</v>
      </c>
    </row>
    <row r="120" spans="1:14">
      <c r="A120" t="s">
        <v>51</v>
      </c>
      <c r="B120" s="3">
        <v>45717</v>
      </c>
      <c r="C120" t="s">
        <v>27</v>
      </c>
      <c r="D120" t="s">
        <v>16</v>
      </c>
      <c r="E120">
        <v>42415.47</v>
      </c>
      <c r="F120">
        <v>8512</v>
      </c>
      <c r="G120">
        <v>0.13300000000000001</v>
      </c>
      <c r="H120">
        <v>18</v>
      </c>
      <c r="I120">
        <v>96.8</v>
      </c>
      <c r="J120">
        <v>14.95</v>
      </c>
      <c r="K120">
        <v>0</v>
      </c>
      <c r="L120">
        <v>4.5999999999999996</v>
      </c>
      <c r="M120">
        <v>684217.32</v>
      </c>
      <c r="N120">
        <v>136217.19</v>
      </c>
    </row>
    <row r="121" spans="1:14">
      <c r="A121" t="s">
        <v>51</v>
      </c>
      <c r="B121" s="3">
        <v>45748</v>
      </c>
      <c r="C121" t="s">
        <v>27</v>
      </c>
      <c r="D121" t="s">
        <v>16</v>
      </c>
      <c r="E121">
        <v>54968.98</v>
      </c>
      <c r="F121">
        <v>7816</v>
      </c>
      <c r="G121">
        <v>0.23200000000000001</v>
      </c>
      <c r="H121">
        <v>19</v>
      </c>
      <c r="I121">
        <v>95.7</v>
      </c>
      <c r="J121">
        <v>7.85</v>
      </c>
      <c r="K121">
        <v>0</v>
      </c>
      <c r="L121">
        <v>4.7</v>
      </c>
      <c r="M121">
        <v>735480.19</v>
      </c>
      <c r="N121">
        <v>88342.11</v>
      </c>
    </row>
    <row r="122" spans="1:14">
      <c r="A122" t="s">
        <v>52</v>
      </c>
      <c r="B122" s="3">
        <v>45658</v>
      </c>
      <c r="C122" t="s">
        <v>20</v>
      </c>
      <c r="D122" t="s">
        <v>18</v>
      </c>
      <c r="E122">
        <v>43896.13</v>
      </c>
      <c r="F122">
        <v>3853</v>
      </c>
      <c r="G122">
        <v>8.7999999999999995E-2</v>
      </c>
      <c r="H122">
        <v>13</v>
      </c>
      <c r="I122">
        <v>83</v>
      </c>
      <c r="J122">
        <v>6.8</v>
      </c>
      <c r="K122">
        <v>0</v>
      </c>
      <c r="L122">
        <v>4.4000000000000004</v>
      </c>
      <c r="M122">
        <v>509484.81</v>
      </c>
      <c r="N122">
        <v>85742.36</v>
      </c>
    </row>
    <row r="123" spans="1:14">
      <c r="A123" t="s">
        <v>52</v>
      </c>
      <c r="B123" s="3">
        <v>45689</v>
      </c>
      <c r="C123" t="s">
        <v>20</v>
      </c>
      <c r="D123" t="s">
        <v>18</v>
      </c>
      <c r="E123">
        <v>83044.17</v>
      </c>
      <c r="F123">
        <v>3694</v>
      </c>
      <c r="G123">
        <v>0</v>
      </c>
      <c r="H123">
        <v>14</v>
      </c>
      <c r="I123">
        <v>89.4</v>
      </c>
      <c r="J123">
        <v>2.2000000000000002</v>
      </c>
      <c r="K123">
        <v>0</v>
      </c>
      <c r="L123">
        <v>3.7</v>
      </c>
      <c r="M123">
        <v>654317.09</v>
      </c>
      <c r="N123">
        <v>121446.89</v>
      </c>
    </row>
    <row r="124" spans="1:14">
      <c r="A124" t="s">
        <v>52</v>
      </c>
      <c r="B124" s="3">
        <v>45717</v>
      </c>
      <c r="C124" t="s">
        <v>20</v>
      </c>
      <c r="D124" t="s">
        <v>18</v>
      </c>
      <c r="E124">
        <v>48396.13</v>
      </c>
      <c r="F124">
        <v>4423</v>
      </c>
      <c r="G124">
        <v>6.9000000000000006E-2</v>
      </c>
      <c r="H124">
        <v>15</v>
      </c>
      <c r="I124">
        <v>85.7</v>
      </c>
      <c r="J124">
        <v>1.88</v>
      </c>
      <c r="K124">
        <v>0</v>
      </c>
      <c r="L124">
        <v>3.9</v>
      </c>
      <c r="M124">
        <v>557487.26</v>
      </c>
      <c r="N124">
        <v>76432.19</v>
      </c>
    </row>
    <row r="125" spans="1:14">
      <c r="A125" t="s">
        <v>52</v>
      </c>
      <c r="B125" s="3">
        <v>45748</v>
      </c>
      <c r="C125" t="s">
        <v>20</v>
      </c>
      <c r="D125" t="s">
        <v>18</v>
      </c>
      <c r="E125">
        <v>19063.48</v>
      </c>
      <c r="F125">
        <v>1906</v>
      </c>
      <c r="G125">
        <v>0.216</v>
      </c>
      <c r="H125">
        <v>10</v>
      </c>
      <c r="I125">
        <v>97.8</v>
      </c>
      <c r="J125">
        <v>15.79</v>
      </c>
      <c r="K125">
        <v>0</v>
      </c>
      <c r="L125">
        <v>4.4000000000000004</v>
      </c>
      <c r="M125">
        <v>441275.42</v>
      </c>
      <c r="N125">
        <v>58234.87</v>
      </c>
    </row>
    <row r="126" spans="1:14">
      <c r="A126" t="s">
        <v>53</v>
      </c>
      <c r="B126" s="3">
        <v>45658</v>
      </c>
      <c r="C126" t="s">
        <v>24</v>
      </c>
      <c r="D126" t="s">
        <v>18</v>
      </c>
      <c r="E126">
        <v>61541.21</v>
      </c>
      <c r="F126">
        <v>10396</v>
      </c>
      <c r="G126">
        <v>0.123</v>
      </c>
      <c r="H126">
        <v>25</v>
      </c>
      <c r="I126">
        <v>88.1</v>
      </c>
      <c r="J126">
        <v>2.34</v>
      </c>
      <c r="K126">
        <v>1</v>
      </c>
      <c r="L126">
        <v>4.8</v>
      </c>
      <c r="M126">
        <v>914544.17</v>
      </c>
      <c r="N126">
        <v>79831.73</v>
      </c>
    </row>
    <row r="127" spans="1:14">
      <c r="A127" t="s">
        <v>53</v>
      </c>
      <c r="B127" s="3">
        <v>45689</v>
      </c>
      <c r="C127" t="s">
        <v>24</v>
      </c>
      <c r="D127" t="s">
        <v>18</v>
      </c>
      <c r="E127">
        <v>44747</v>
      </c>
      <c r="F127">
        <v>11076</v>
      </c>
      <c r="G127">
        <v>0.17599999999999999</v>
      </c>
      <c r="H127">
        <v>27</v>
      </c>
      <c r="I127">
        <v>98.3</v>
      </c>
      <c r="J127">
        <v>0.54</v>
      </c>
      <c r="K127">
        <v>0</v>
      </c>
      <c r="L127">
        <v>4.4000000000000004</v>
      </c>
      <c r="M127">
        <v>842439.67</v>
      </c>
      <c r="N127">
        <v>169983.63</v>
      </c>
    </row>
    <row r="128" spans="1:14">
      <c r="A128" t="s">
        <v>53</v>
      </c>
      <c r="B128" s="3">
        <v>45717</v>
      </c>
      <c r="C128" t="s">
        <v>24</v>
      </c>
      <c r="D128" t="s">
        <v>18</v>
      </c>
      <c r="E128">
        <v>56517.9</v>
      </c>
      <c r="F128">
        <v>9574</v>
      </c>
      <c r="G128">
        <v>0.20399999999999999</v>
      </c>
      <c r="H128">
        <v>20</v>
      </c>
      <c r="I128">
        <v>88.2</v>
      </c>
      <c r="J128">
        <v>5.37</v>
      </c>
      <c r="K128">
        <v>1</v>
      </c>
      <c r="L128">
        <v>4.9000000000000004</v>
      </c>
      <c r="M128">
        <v>842157.92</v>
      </c>
      <c r="N128">
        <v>107348.22</v>
      </c>
    </row>
    <row r="129" spans="1:14">
      <c r="A129" t="s">
        <v>53</v>
      </c>
      <c r="B129" s="3">
        <v>45748</v>
      </c>
      <c r="C129" t="s">
        <v>24</v>
      </c>
      <c r="D129" t="s">
        <v>18</v>
      </c>
      <c r="E129">
        <v>37828.5</v>
      </c>
      <c r="F129">
        <v>8221</v>
      </c>
      <c r="G129">
        <v>9.6000000000000002E-2</v>
      </c>
      <c r="H129">
        <v>19</v>
      </c>
      <c r="I129">
        <v>81.5</v>
      </c>
      <c r="J129">
        <v>3.19</v>
      </c>
      <c r="K129">
        <v>0</v>
      </c>
      <c r="L129">
        <v>4.8</v>
      </c>
      <c r="M129">
        <v>697155.3</v>
      </c>
      <c r="N129">
        <v>136408.54</v>
      </c>
    </row>
    <row r="130" spans="1:14">
      <c r="A130" t="s">
        <v>54</v>
      </c>
      <c r="B130" s="3">
        <v>45658</v>
      </c>
      <c r="C130" t="s">
        <v>15</v>
      </c>
      <c r="D130" t="s">
        <v>18</v>
      </c>
      <c r="E130">
        <v>66250.53</v>
      </c>
      <c r="F130">
        <v>10618</v>
      </c>
      <c r="G130">
        <v>0.14199999999999999</v>
      </c>
      <c r="H130">
        <v>27</v>
      </c>
      <c r="I130">
        <v>88.3</v>
      </c>
      <c r="J130">
        <v>1.1000000000000001</v>
      </c>
      <c r="K130">
        <v>1</v>
      </c>
      <c r="L130">
        <v>4.4000000000000004</v>
      </c>
      <c r="M130">
        <v>849018.3</v>
      </c>
      <c r="N130">
        <v>149035.13</v>
      </c>
    </row>
    <row r="131" spans="1:14">
      <c r="A131" t="s">
        <v>54</v>
      </c>
      <c r="B131" s="3">
        <v>45689</v>
      </c>
      <c r="C131" t="s">
        <v>15</v>
      </c>
      <c r="D131" t="s">
        <v>18</v>
      </c>
      <c r="E131">
        <v>68410.929999999993</v>
      </c>
      <c r="F131">
        <v>10596</v>
      </c>
      <c r="G131">
        <v>0.20699999999999999</v>
      </c>
      <c r="H131">
        <v>25</v>
      </c>
      <c r="I131">
        <v>81.2</v>
      </c>
      <c r="J131">
        <v>0.21</v>
      </c>
      <c r="K131">
        <v>0</v>
      </c>
      <c r="L131">
        <v>4</v>
      </c>
      <c r="M131">
        <v>801830.35</v>
      </c>
      <c r="N131">
        <v>114875.32</v>
      </c>
    </row>
    <row r="132" spans="1:14">
      <c r="A132" t="s">
        <v>54</v>
      </c>
      <c r="B132" s="3">
        <v>45717</v>
      </c>
      <c r="C132" t="s">
        <v>15</v>
      </c>
      <c r="D132" t="s">
        <v>18</v>
      </c>
      <c r="E132">
        <v>50735.63</v>
      </c>
      <c r="F132">
        <v>9619</v>
      </c>
      <c r="G132">
        <v>0.14399999999999999</v>
      </c>
      <c r="H132">
        <v>19</v>
      </c>
      <c r="I132">
        <v>93.8</v>
      </c>
      <c r="J132">
        <v>5.12</v>
      </c>
      <c r="K132">
        <v>1</v>
      </c>
      <c r="L132">
        <v>4.5</v>
      </c>
      <c r="M132">
        <v>725235.28</v>
      </c>
      <c r="N132">
        <v>121632.24</v>
      </c>
    </row>
    <row r="133" spans="1:14">
      <c r="A133" t="s">
        <v>54</v>
      </c>
      <c r="B133" s="3">
        <v>45748</v>
      </c>
      <c r="C133" t="s">
        <v>15</v>
      </c>
      <c r="D133" t="s">
        <v>18</v>
      </c>
      <c r="E133">
        <v>66455.8</v>
      </c>
      <c r="F133">
        <v>10836</v>
      </c>
      <c r="G133">
        <v>8.8999999999999996E-2</v>
      </c>
      <c r="H133">
        <v>25</v>
      </c>
      <c r="I133">
        <v>85</v>
      </c>
      <c r="J133">
        <v>9.77</v>
      </c>
      <c r="K133">
        <v>0</v>
      </c>
      <c r="L133">
        <v>4.5</v>
      </c>
      <c r="M133">
        <v>811452.72</v>
      </c>
      <c r="N133">
        <v>131325.67000000001</v>
      </c>
    </row>
    <row r="134" spans="1:14">
      <c r="A134" t="s">
        <v>55</v>
      </c>
      <c r="B134" s="3">
        <v>45658</v>
      </c>
      <c r="C134" t="s">
        <v>20</v>
      </c>
      <c r="D134" t="s">
        <v>18</v>
      </c>
      <c r="E134">
        <v>70276.28</v>
      </c>
      <c r="F134">
        <v>3043</v>
      </c>
      <c r="G134">
        <v>7.9000000000000001E-2</v>
      </c>
      <c r="H134">
        <v>9</v>
      </c>
      <c r="I134">
        <v>87.9</v>
      </c>
      <c r="J134">
        <v>3.77</v>
      </c>
      <c r="K134">
        <v>0</v>
      </c>
      <c r="L134">
        <v>4.4000000000000004</v>
      </c>
      <c r="M134">
        <v>527300.13</v>
      </c>
      <c r="N134">
        <v>84197.87</v>
      </c>
    </row>
    <row r="135" spans="1:14">
      <c r="A135" t="s">
        <v>55</v>
      </c>
      <c r="B135" s="3">
        <v>45689</v>
      </c>
      <c r="C135" t="s">
        <v>20</v>
      </c>
      <c r="D135" t="s">
        <v>18</v>
      </c>
      <c r="E135">
        <v>22071.64</v>
      </c>
      <c r="F135">
        <v>1814</v>
      </c>
      <c r="G135">
        <v>0.19600000000000001</v>
      </c>
      <c r="H135">
        <v>8</v>
      </c>
      <c r="I135">
        <v>81.099999999999994</v>
      </c>
      <c r="J135">
        <v>0.78</v>
      </c>
      <c r="K135">
        <v>0</v>
      </c>
      <c r="L135" s="6">
        <v>3.92</v>
      </c>
      <c r="M135">
        <v>400831.65</v>
      </c>
      <c r="N135">
        <v>70979.31</v>
      </c>
    </row>
    <row r="136" spans="1:14">
      <c r="A136" t="s">
        <v>55</v>
      </c>
      <c r="B136" s="3">
        <v>45717</v>
      </c>
      <c r="C136" t="s">
        <v>20</v>
      </c>
      <c r="D136" t="s">
        <v>18</v>
      </c>
      <c r="E136">
        <v>52285.45</v>
      </c>
      <c r="F136">
        <v>3618</v>
      </c>
      <c r="G136">
        <v>8.5999999999999993E-2</v>
      </c>
      <c r="H136">
        <v>11</v>
      </c>
      <c r="I136">
        <v>95.6</v>
      </c>
      <c r="J136">
        <v>5.17</v>
      </c>
      <c r="K136">
        <v>1</v>
      </c>
      <c r="L136">
        <v>4.4000000000000004</v>
      </c>
      <c r="M136">
        <v>593247.25</v>
      </c>
      <c r="N136">
        <v>81240.289999999994</v>
      </c>
    </row>
    <row r="137" spans="1:14">
      <c r="A137" t="s">
        <v>55</v>
      </c>
      <c r="B137" s="3">
        <v>45748</v>
      </c>
      <c r="C137" t="s">
        <v>20</v>
      </c>
      <c r="D137" t="s">
        <v>18</v>
      </c>
      <c r="E137">
        <v>70366.759999999995</v>
      </c>
      <c r="F137">
        <v>1963</v>
      </c>
      <c r="G137">
        <v>0.182</v>
      </c>
      <c r="H137">
        <v>8</v>
      </c>
      <c r="I137">
        <v>89.8</v>
      </c>
      <c r="J137">
        <v>3.2</v>
      </c>
      <c r="K137">
        <v>0</v>
      </c>
      <c r="L137">
        <v>4.5999999999999996</v>
      </c>
      <c r="M137">
        <v>529075.94999999995</v>
      </c>
      <c r="N137">
        <v>95978.83</v>
      </c>
    </row>
    <row r="138" spans="1:14">
      <c r="A138" t="s">
        <v>56</v>
      </c>
      <c r="B138" s="3">
        <v>45658</v>
      </c>
      <c r="C138" t="s">
        <v>24</v>
      </c>
      <c r="D138" t="s">
        <v>16</v>
      </c>
      <c r="E138">
        <v>71320.66</v>
      </c>
      <c r="F138">
        <v>7888</v>
      </c>
      <c r="G138">
        <v>4.8000000000000001E-2</v>
      </c>
      <c r="H138">
        <v>20</v>
      </c>
      <c r="I138">
        <v>78.099999999999994</v>
      </c>
      <c r="J138">
        <v>3.4</v>
      </c>
      <c r="K138">
        <v>0</v>
      </c>
      <c r="L138" s="6">
        <v>3.92</v>
      </c>
      <c r="M138">
        <v>633638.03</v>
      </c>
      <c r="N138">
        <v>99402.01</v>
      </c>
    </row>
    <row r="139" spans="1:14">
      <c r="A139" t="s">
        <v>56</v>
      </c>
      <c r="B139" s="3">
        <v>45689</v>
      </c>
      <c r="C139" t="s">
        <v>24</v>
      </c>
      <c r="D139" t="s">
        <v>16</v>
      </c>
      <c r="E139">
        <v>75109.67</v>
      </c>
      <c r="F139">
        <v>6244</v>
      </c>
      <c r="G139">
        <v>7.9000000000000001E-2</v>
      </c>
      <c r="H139">
        <v>15</v>
      </c>
      <c r="I139">
        <v>96.3</v>
      </c>
      <c r="J139">
        <v>7.38</v>
      </c>
      <c r="K139">
        <v>0</v>
      </c>
      <c r="L139">
        <v>3.7</v>
      </c>
      <c r="M139">
        <v>743348.84</v>
      </c>
      <c r="N139">
        <v>104186.09</v>
      </c>
    </row>
    <row r="140" spans="1:14">
      <c r="A140" t="s">
        <v>56</v>
      </c>
      <c r="B140" s="3">
        <v>45717</v>
      </c>
      <c r="C140" t="s">
        <v>24</v>
      </c>
      <c r="D140" t="s">
        <v>16</v>
      </c>
      <c r="E140">
        <v>69779</v>
      </c>
      <c r="F140">
        <v>6544</v>
      </c>
      <c r="G140">
        <v>0.152</v>
      </c>
      <c r="H140">
        <v>18</v>
      </c>
      <c r="I140">
        <v>90.2</v>
      </c>
      <c r="J140">
        <v>0.85</v>
      </c>
      <c r="K140">
        <v>1</v>
      </c>
      <c r="L140">
        <v>3.3</v>
      </c>
      <c r="M140">
        <v>758827.64</v>
      </c>
      <c r="N140">
        <v>161439.48000000001</v>
      </c>
    </row>
    <row r="141" spans="1:14">
      <c r="A141" t="s">
        <v>56</v>
      </c>
      <c r="B141" s="3">
        <v>45748</v>
      </c>
      <c r="C141" t="s">
        <v>24</v>
      </c>
      <c r="D141" t="s">
        <v>16</v>
      </c>
      <c r="E141">
        <v>44211.95</v>
      </c>
      <c r="F141">
        <v>5465</v>
      </c>
      <c r="G141">
        <v>0.187</v>
      </c>
      <c r="H141">
        <v>12</v>
      </c>
      <c r="I141">
        <v>90</v>
      </c>
      <c r="J141">
        <v>2.89</v>
      </c>
      <c r="K141">
        <v>0</v>
      </c>
      <c r="L141">
        <v>3.6</v>
      </c>
      <c r="M141">
        <v>646559.71</v>
      </c>
      <c r="N141">
        <v>97981.75</v>
      </c>
    </row>
    <row r="142" spans="1:14">
      <c r="A142" t="s">
        <v>57</v>
      </c>
      <c r="B142" s="3">
        <v>45658</v>
      </c>
      <c r="C142" t="s">
        <v>27</v>
      </c>
      <c r="D142" t="s">
        <v>18</v>
      </c>
      <c r="E142">
        <v>51430.31</v>
      </c>
      <c r="F142">
        <v>6427</v>
      </c>
      <c r="G142">
        <v>0.23400000000000001</v>
      </c>
      <c r="H142">
        <v>14</v>
      </c>
      <c r="I142">
        <v>88.8</v>
      </c>
      <c r="J142">
        <v>0.77</v>
      </c>
      <c r="K142">
        <v>0</v>
      </c>
      <c r="L142">
        <v>4.0999999999999996</v>
      </c>
      <c r="M142">
        <v>715890.53</v>
      </c>
      <c r="N142">
        <v>109032.15</v>
      </c>
    </row>
    <row r="143" spans="1:14">
      <c r="A143" t="s">
        <v>57</v>
      </c>
      <c r="B143" s="3">
        <v>45689</v>
      </c>
      <c r="C143" t="s">
        <v>27</v>
      </c>
      <c r="D143" t="s">
        <v>18</v>
      </c>
      <c r="E143">
        <v>45706.49</v>
      </c>
      <c r="F143">
        <v>6704</v>
      </c>
      <c r="G143">
        <v>3.7999999999999999E-2</v>
      </c>
      <c r="H143">
        <v>15</v>
      </c>
      <c r="I143">
        <v>94.2</v>
      </c>
      <c r="J143">
        <v>2.92</v>
      </c>
      <c r="K143">
        <v>0</v>
      </c>
      <c r="L143">
        <v>4.2</v>
      </c>
      <c r="M143">
        <v>715097.57</v>
      </c>
      <c r="N143">
        <v>151875.85999999999</v>
      </c>
    </row>
    <row r="144" spans="1:14">
      <c r="A144" t="s">
        <v>57</v>
      </c>
      <c r="B144" s="3">
        <v>45717</v>
      </c>
      <c r="C144" t="s">
        <v>27</v>
      </c>
      <c r="D144" t="s">
        <v>18</v>
      </c>
      <c r="E144">
        <v>44034.6</v>
      </c>
      <c r="F144">
        <v>5645</v>
      </c>
      <c r="G144">
        <v>6.9000000000000006E-2</v>
      </c>
      <c r="H144">
        <v>18</v>
      </c>
      <c r="I144">
        <v>88.5</v>
      </c>
      <c r="J144">
        <v>3.07</v>
      </c>
      <c r="K144">
        <v>0</v>
      </c>
      <c r="L144">
        <v>3.8</v>
      </c>
      <c r="M144">
        <v>682639.28</v>
      </c>
      <c r="N144">
        <v>77557.53</v>
      </c>
    </row>
    <row r="145" spans="1:14">
      <c r="A145" t="s">
        <v>57</v>
      </c>
      <c r="B145" s="3">
        <v>45748</v>
      </c>
      <c r="C145" t="s">
        <v>27</v>
      </c>
      <c r="D145" t="s">
        <v>18</v>
      </c>
      <c r="E145">
        <v>50198.12</v>
      </c>
      <c r="F145">
        <v>6089</v>
      </c>
      <c r="G145">
        <v>0.182</v>
      </c>
      <c r="H145">
        <v>19</v>
      </c>
      <c r="I145">
        <v>94</v>
      </c>
      <c r="J145">
        <v>9.6999999999999993</v>
      </c>
      <c r="K145">
        <v>0</v>
      </c>
      <c r="L145">
        <v>3.9</v>
      </c>
      <c r="M145">
        <v>695098.51</v>
      </c>
      <c r="N145">
        <v>108192.75</v>
      </c>
    </row>
    <row r="146" spans="1:14">
      <c r="A146" t="s">
        <v>58</v>
      </c>
      <c r="B146" s="3">
        <v>45658</v>
      </c>
      <c r="C146" t="s">
        <v>20</v>
      </c>
      <c r="D146" t="s">
        <v>16</v>
      </c>
      <c r="E146">
        <v>70488.2</v>
      </c>
      <c r="F146">
        <v>4312</v>
      </c>
      <c r="G146">
        <v>0.16900000000000001</v>
      </c>
      <c r="H146">
        <v>12</v>
      </c>
      <c r="I146">
        <v>90.2</v>
      </c>
      <c r="J146">
        <v>3.71</v>
      </c>
      <c r="K146">
        <v>0</v>
      </c>
      <c r="L146">
        <v>3.2</v>
      </c>
      <c r="M146">
        <v>577732.56999999995</v>
      </c>
      <c r="N146">
        <v>93804.27</v>
      </c>
    </row>
    <row r="147" spans="1:14">
      <c r="A147" t="s">
        <v>58</v>
      </c>
      <c r="B147" s="3">
        <v>45689</v>
      </c>
      <c r="C147" t="s">
        <v>20</v>
      </c>
      <c r="D147" t="s">
        <v>16</v>
      </c>
      <c r="E147">
        <v>50909.27</v>
      </c>
      <c r="F147">
        <v>3152</v>
      </c>
      <c r="G147">
        <v>0.06</v>
      </c>
      <c r="H147">
        <v>13</v>
      </c>
      <c r="I147">
        <v>93.7</v>
      </c>
      <c r="J147">
        <v>10.79</v>
      </c>
      <c r="K147">
        <v>0</v>
      </c>
      <c r="L147">
        <v>3.5</v>
      </c>
      <c r="M147">
        <v>537058.32999999996</v>
      </c>
      <c r="N147">
        <v>93555.71</v>
      </c>
    </row>
    <row r="148" spans="1:14">
      <c r="A148" t="s">
        <v>58</v>
      </c>
      <c r="B148" s="3">
        <v>45717</v>
      </c>
      <c r="C148" t="s">
        <v>20</v>
      </c>
      <c r="D148" t="s">
        <v>16</v>
      </c>
      <c r="E148">
        <v>53351.7</v>
      </c>
      <c r="F148">
        <v>4259</v>
      </c>
      <c r="G148">
        <v>0.156</v>
      </c>
      <c r="H148">
        <v>15</v>
      </c>
      <c r="I148">
        <v>93.7</v>
      </c>
      <c r="J148">
        <v>6.03</v>
      </c>
      <c r="K148">
        <v>0</v>
      </c>
      <c r="L148">
        <v>3.4</v>
      </c>
      <c r="M148">
        <v>601568.87</v>
      </c>
      <c r="N148">
        <v>91634.82</v>
      </c>
    </row>
    <row r="149" spans="1:14">
      <c r="A149" t="s">
        <v>58</v>
      </c>
      <c r="B149" s="3">
        <v>45748</v>
      </c>
      <c r="C149" t="s">
        <v>20</v>
      </c>
      <c r="D149" t="s">
        <v>16</v>
      </c>
      <c r="E149">
        <v>60322.400000000001</v>
      </c>
      <c r="F149">
        <v>3350</v>
      </c>
      <c r="G149">
        <v>0.108</v>
      </c>
      <c r="H149">
        <v>12</v>
      </c>
      <c r="I149">
        <v>89.4</v>
      </c>
      <c r="J149">
        <v>4.92</v>
      </c>
      <c r="K149">
        <v>0</v>
      </c>
      <c r="L149">
        <v>3.4</v>
      </c>
      <c r="M149">
        <v>570964.84</v>
      </c>
      <c r="N149">
        <v>81331.070000000007</v>
      </c>
    </row>
    <row r="150" spans="1:14">
      <c r="A150" t="s">
        <v>59</v>
      </c>
      <c r="B150" s="3">
        <v>45658</v>
      </c>
      <c r="C150" t="s">
        <v>24</v>
      </c>
      <c r="D150" t="s">
        <v>28</v>
      </c>
      <c r="E150">
        <v>51575.68</v>
      </c>
      <c r="F150">
        <v>5329</v>
      </c>
      <c r="G150">
        <v>4.7E-2</v>
      </c>
      <c r="H150">
        <v>17</v>
      </c>
      <c r="I150">
        <v>88.1</v>
      </c>
      <c r="J150">
        <v>19.78</v>
      </c>
      <c r="K150">
        <v>0</v>
      </c>
      <c r="L150">
        <v>3.8</v>
      </c>
      <c r="M150">
        <v>614024.91</v>
      </c>
      <c r="N150">
        <v>84828.93</v>
      </c>
    </row>
    <row r="151" spans="1:14">
      <c r="A151" t="s">
        <v>59</v>
      </c>
      <c r="B151" s="3">
        <v>45689</v>
      </c>
      <c r="C151" t="s">
        <v>24</v>
      </c>
      <c r="D151" t="s">
        <v>28</v>
      </c>
      <c r="E151">
        <v>43319.94</v>
      </c>
      <c r="F151">
        <v>6551</v>
      </c>
      <c r="G151">
        <v>4.3999999999999997E-2</v>
      </c>
      <c r="H151">
        <v>13</v>
      </c>
      <c r="I151">
        <v>99</v>
      </c>
      <c r="J151">
        <v>5.45</v>
      </c>
      <c r="K151">
        <v>0</v>
      </c>
      <c r="L151">
        <v>4.0999999999999996</v>
      </c>
      <c r="M151">
        <v>712868.35</v>
      </c>
      <c r="N151">
        <v>133650.51</v>
      </c>
    </row>
    <row r="152" spans="1:14">
      <c r="A152" t="s">
        <v>59</v>
      </c>
      <c r="B152" s="3">
        <v>45717</v>
      </c>
      <c r="C152" t="s">
        <v>24</v>
      </c>
      <c r="D152" t="s">
        <v>28</v>
      </c>
      <c r="E152">
        <v>47093.55</v>
      </c>
      <c r="F152">
        <v>5550</v>
      </c>
      <c r="G152">
        <v>0.1</v>
      </c>
      <c r="H152">
        <v>12</v>
      </c>
      <c r="I152">
        <v>95</v>
      </c>
      <c r="J152">
        <v>2.33</v>
      </c>
      <c r="K152">
        <v>1</v>
      </c>
      <c r="L152">
        <v>3.7</v>
      </c>
      <c r="M152">
        <v>696744.15</v>
      </c>
      <c r="N152">
        <v>152230.09</v>
      </c>
    </row>
    <row r="153" spans="1:14">
      <c r="A153" t="s">
        <v>59</v>
      </c>
      <c r="B153" s="3">
        <v>45748</v>
      </c>
      <c r="C153" t="s">
        <v>24</v>
      </c>
      <c r="D153" t="s">
        <v>28</v>
      </c>
      <c r="E153">
        <v>71855.09</v>
      </c>
      <c r="F153">
        <v>5911</v>
      </c>
      <c r="G153">
        <v>0.19700000000000001</v>
      </c>
      <c r="H153">
        <v>15</v>
      </c>
      <c r="I153">
        <v>94.3</v>
      </c>
      <c r="J153">
        <v>3.55</v>
      </c>
      <c r="K153">
        <v>0</v>
      </c>
      <c r="L153">
        <v>4.0999999999999996</v>
      </c>
      <c r="M153">
        <v>725847.99</v>
      </c>
      <c r="N153">
        <v>122698.73</v>
      </c>
    </row>
    <row r="154" spans="1:14">
      <c r="A154" t="s">
        <v>60</v>
      </c>
      <c r="B154" s="3">
        <v>45658</v>
      </c>
      <c r="C154" t="s">
        <v>15</v>
      </c>
      <c r="D154" t="s">
        <v>18</v>
      </c>
      <c r="E154">
        <v>75645.23</v>
      </c>
      <c r="F154">
        <v>9674</v>
      </c>
      <c r="G154">
        <v>0.23400000000000001</v>
      </c>
      <c r="H154">
        <v>21</v>
      </c>
      <c r="I154">
        <v>87.4</v>
      </c>
      <c r="J154">
        <v>0.2</v>
      </c>
      <c r="K154">
        <v>0</v>
      </c>
      <c r="L154">
        <v>4.5</v>
      </c>
      <c r="M154">
        <v>785028.25</v>
      </c>
      <c r="N154">
        <v>110726.44</v>
      </c>
    </row>
    <row r="155" spans="1:14">
      <c r="A155" t="s">
        <v>60</v>
      </c>
      <c r="B155" s="3">
        <v>45689</v>
      </c>
      <c r="C155" t="s">
        <v>15</v>
      </c>
      <c r="D155" t="s">
        <v>18</v>
      </c>
      <c r="E155">
        <v>64374.75</v>
      </c>
      <c r="F155">
        <v>6740</v>
      </c>
      <c r="G155">
        <v>0.16900000000000001</v>
      </c>
      <c r="H155">
        <v>18</v>
      </c>
      <c r="I155">
        <v>87</v>
      </c>
      <c r="J155">
        <v>2.09</v>
      </c>
      <c r="K155">
        <v>0</v>
      </c>
      <c r="L155">
        <v>4.2</v>
      </c>
      <c r="M155">
        <v>698492.67</v>
      </c>
      <c r="N155">
        <v>117319.32</v>
      </c>
    </row>
    <row r="156" spans="1:14">
      <c r="A156" t="s">
        <v>60</v>
      </c>
      <c r="B156" s="3">
        <v>45717</v>
      </c>
      <c r="C156" t="s">
        <v>15</v>
      </c>
      <c r="D156" t="s">
        <v>18</v>
      </c>
      <c r="E156">
        <v>61433.84</v>
      </c>
      <c r="F156">
        <v>7745</v>
      </c>
      <c r="G156">
        <v>0.18</v>
      </c>
      <c r="H156">
        <v>16</v>
      </c>
      <c r="I156">
        <v>90.5</v>
      </c>
      <c r="J156">
        <v>2.2599999999999998</v>
      </c>
      <c r="K156">
        <v>0</v>
      </c>
      <c r="L156">
        <v>4.2</v>
      </c>
      <c r="M156">
        <v>685830.24</v>
      </c>
      <c r="N156">
        <v>128736.18</v>
      </c>
    </row>
    <row r="157" spans="1:14">
      <c r="A157" t="s">
        <v>60</v>
      </c>
      <c r="B157" s="3">
        <v>45748</v>
      </c>
      <c r="C157" t="s">
        <v>15</v>
      </c>
      <c r="D157" t="s">
        <v>18</v>
      </c>
      <c r="E157">
        <v>42698.14</v>
      </c>
      <c r="F157">
        <v>7693</v>
      </c>
      <c r="G157">
        <v>0.187</v>
      </c>
      <c r="H157">
        <v>19</v>
      </c>
      <c r="I157">
        <v>90.1</v>
      </c>
      <c r="J157">
        <v>0.44</v>
      </c>
      <c r="K157">
        <v>0</v>
      </c>
      <c r="L157">
        <v>4.4000000000000004</v>
      </c>
      <c r="M157">
        <v>702318.94</v>
      </c>
      <c r="N157">
        <v>112829.29</v>
      </c>
    </row>
    <row r="158" spans="1:14">
      <c r="A158" t="s">
        <v>61</v>
      </c>
      <c r="B158" s="3">
        <v>45658</v>
      </c>
      <c r="C158" t="s">
        <v>20</v>
      </c>
      <c r="D158" t="s">
        <v>28</v>
      </c>
      <c r="E158">
        <v>86883.31</v>
      </c>
      <c r="F158">
        <v>6424</v>
      </c>
      <c r="G158">
        <v>5.7000000000000002E-2</v>
      </c>
      <c r="H158">
        <v>19</v>
      </c>
      <c r="I158">
        <v>85.2</v>
      </c>
      <c r="J158">
        <v>3.08</v>
      </c>
      <c r="K158">
        <v>0</v>
      </c>
      <c r="L158">
        <v>3.9</v>
      </c>
      <c r="M158">
        <v>700078.32</v>
      </c>
      <c r="N158">
        <v>123707.58</v>
      </c>
    </row>
    <row r="159" spans="1:14">
      <c r="A159" t="s">
        <v>61</v>
      </c>
      <c r="B159" s="3">
        <v>45689</v>
      </c>
      <c r="C159" t="s">
        <v>20</v>
      </c>
      <c r="D159" t="s">
        <v>28</v>
      </c>
      <c r="E159">
        <v>41863.08</v>
      </c>
      <c r="F159">
        <v>5400</v>
      </c>
      <c r="G159">
        <v>0.114</v>
      </c>
      <c r="H159">
        <v>11</v>
      </c>
      <c r="I159">
        <v>91.6</v>
      </c>
      <c r="J159">
        <v>7.99</v>
      </c>
      <c r="K159">
        <v>0</v>
      </c>
      <c r="L159">
        <v>3</v>
      </c>
      <c r="M159">
        <v>602002.31999999995</v>
      </c>
      <c r="N159">
        <v>110453.28</v>
      </c>
    </row>
    <row r="160" spans="1:14">
      <c r="A160" t="s">
        <v>61</v>
      </c>
      <c r="B160" s="3">
        <v>45717</v>
      </c>
      <c r="C160" t="s">
        <v>20</v>
      </c>
      <c r="D160" t="s">
        <v>28</v>
      </c>
      <c r="E160">
        <v>56918.16</v>
      </c>
      <c r="F160">
        <v>7015</v>
      </c>
      <c r="G160">
        <v>0.158</v>
      </c>
      <c r="H160">
        <v>18</v>
      </c>
      <c r="I160">
        <v>74.2</v>
      </c>
      <c r="J160">
        <v>0.2</v>
      </c>
      <c r="K160">
        <v>0</v>
      </c>
      <c r="L160">
        <v>3.4</v>
      </c>
      <c r="M160">
        <v>724216.07</v>
      </c>
      <c r="N160">
        <v>100627.56</v>
      </c>
    </row>
    <row r="161" spans="1:14">
      <c r="A161" t="s">
        <v>61</v>
      </c>
      <c r="B161" s="3">
        <v>45748</v>
      </c>
      <c r="C161" t="s">
        <v>20</v>
      </c>
      <c r="D161" t="s">
        <v>28</v>
      </c>
      <c r="E161">
        <v>23254.57</v>
      </c>
      <c r="F161">
        <v>3847</v>
      </c>
      <c r="G161">
        <v>0.159</v>
      </c>
      <c r="H161">
        <v>12</v>
      </c>
      <c r="I161">
        <v>93</v>
      </c>
      <c r="J161">
        <v>5.46</v>
      </c>
      <c r="K161">
        <v>0</v>
      </c>
      <c r="L161">
        <v>3.3</v>
      </c>
      <c r="M161">
        <v>620973.03</v>
      </c>
      <c r="N161">
        <v>72303.850000000006</v>
      </c>
    </row>
    <row r="162" spans="1:14">
      <c r="A162" t="s">
        <v>62</v>
      </c>
      <c r="B162" s="3">
        <v>45658</v>
      </c>
      <c r="C162" t="s">
        <v>24</v>
      </c>
      <c r="D162" t="s">
        <v>18</v>
      </c>
      <c r="E162">
        <v>41443.410000000003</v>
      </c>
      <c r="F162">
        <v>7455</v>
      </c>
      <c r="G162">
        <v>0.17499999999999999</v>
      </c>
      <c r="H162">
        <v>16</v>
      </c>
      <c r="I162">
        <v>90.1</v>
      </c>
      <c r="J162">
        <v>4.05</v>
      </c>
      <c r="K162">
        <v>0</v>
      </c>
      <c r="L162">
        <v>4</v>
      </c>
      <c r="M162">
        <v>650480.06000000006</v>
      </c>
      <c r="N162">
        <v>109012.07</v>
      </c>
    </row>
    <row r="163" spans="1:14">
      <c r="A163" t="s">
        <v>62</v>
      </c>
      <c r="B163" s="3">
        <v>45689</v>
      </c>
      <c r="C163" t="s">
        <v>24</v>
      </c>
      <c r="D163" t="s">
        <v>18</v>
      </c>
      <c r="E163">
        <v>48438.85</v>
      </c>
      <c r="F163">
        <v>6992</v>
      </c>
      <c r="G163">
        <v>3.4000000000000002E-2</v>
      </c>
      <c r="H163">
        <v>20</v>
      </c>
      <c r="I163">
        <v>91</v>
      </c>
      <c r="J163">
        <v>4.3600000000000003</v>
      </c>
      <c r="K163">
        <v>0</v>
      </c>
      <c r="L163">
        <v>4.2</v>
      </c>
      <c r="M163">
        <v>778298.88</v>
      </c>
      <c r="N163">
        <v>130076.72</v>
      </c>
    </row>
    <row r="164" spans="1:14">
      <c r="A164" t="s">
        <v>62</v>
      </c>
      <c r="B164" s="3">
        <v>45717</v>
      </c>
      <c r="C164" t="s">
        <v>24</v>
      </c>
      <c r="D164" t="s">
        <v>18</v>
      </c>
      <c r="E164">
        <v>57143.3</v>
      </c>
      <c r="F164">
        <v>8038</v>
      </c>
      <c r="G164">
        <v>0.193</v>
      </c>
      <c r="H164">
        <v>17</v>
      </c>
      <c r="I164">
        <v>72.599999999999994</v>
      </c>
      <c r="J164" s="6">
        <v>4.5599999999999996</v>
      </c>
      <c r="K164">
        <v>0</v>
      </c>
      <c r="L164">
        <v>4.2</v>
      </c>
      <c r="M164">
        <v>677096.71</v>
      </c>
      <c r="N164">
        <v>97174.11</v>
      </c>
    </row>
    <row r="165" spans="1:14">
      <c r="A165" t="s">
        <v>62</v>
      </c>
      <c r="B165" s="3">
        <v>45748</v>
      </c>
      <c r="C165" t="s">
        <v>24</v>
      </c>
      <c r="D165" t="s">
        <v>18</v>
      </c>
      <c r="E165">
        <v>66870.62</v>
      </c>
      <c r="F165">
        <v>6055</v>
      </c>
      <c r="G165">
        <v>7.4999999999999997E-2</v>
      </c>
      <c r="H165">
        <v>19</v>
      </c>
      <c r="I165">
        <v>93.8</v>
      </c>
      <c r="J165">
        <v>0.54</v>
      </c>
      <c r="K165">
        <v>0</v>
      </c>
      <c r="L165">
        <v>4.3</v>
      </c>
      <c r="M165">
        <v>692008.64</v>
      </c>
      <c r="N165">
        <v>116337.87</v>
      </c>
    </row>
    <row r="166" spans="1:14">
      <c r="A166" t="s">
        <v>63</v>
      </c>
      <c r="B166" s="3">
        <v>45658</v>
      </c>
      <c r="C166" t="s">
        <v>20</v>
      </c>
      <c r="D166" t="s">
        <v>28</v>
      </c>
      <c r="E166">
        <v>72150.53</v>
      </c>
      <c r="F166">
        <v>9323</v>
      </c>
      <c r="G166">
        <v>0.157</v>
      </c>
      <c r="H166">
        <v>22</v>
      </c>
      <c r="I166">
        <v>82.9</v>
      </c>
      <c r="J166">
        <v>11.37</v>
      </c>
      <c r="K166">
        <v>1</v>
      </c>
      <c r="L166">
        <v>4.3</v>
      </c>
      <c r="M166">
        <v>825797.91</v>
      </c>
      <c r="N166">
        <v>130945.24</v>
      </c>
    </row>
    <row r="167" spans="1:14">
      <c r="A167" t="s">
        <v>63</v>
      </c>
      <c r="B167" s="3">
        <v>45689</v>
      </c>
      <c r="C167" t="s">
        <v>20</v>
      </c>
      <c r="D167" t="s">
        <v>28</v>
      </c>
      <c r="E167">
        <v>35303.300000000003</v>
      </c>
      <c r="F167">
        <v>8789</v>
      </c>
      <c r="G167">
        <v>0.123</v>
      </c>
      <c r="H167">
        <v>22</v>
      </c>
      <c r="I167">
        <v>86.1</v>
      </c>
      <c r="J167">
        <v>9.43</v>
      </c>
      <c r="K167">
        <v>0</v>
      </c>
      <c r="L167">
        <v>4.2</v>
      </c>
      <c r="M167">
        <v>706285.52</v>
      </c>
      <c r="N167">
        <v>138014.72</v>
      </c>
    </row>
    <row r="168" spans="1:14">
      <c r="A168" t="s">
        <v>63</v>
      </c>
      <c r="B168" s="3">
        <v>45717</v>
      </c>
      <c r="C168" t="s">
        <v>20</v>
      </c>
      <c r="D168" t="s">
        <v>28</v>
      </c>
      <c r="E168">
        <v>30301.86</v>
      </c>
      <c r="F168">
        <v>6939</v>
      </c>
      <c r="G168">
        <v>0.09</v>
      </c>
      <c r="H168">
        <v>16</v>
      </c>
      <c r="I168">
        <v>90.3</v>
      </c>
      <c r="J168">
        <v>3.49</v>
      </c>
      <c r="K168">
        <v>0</v>
      </c>
      <c r="L168">
        <v>4</v>
      </c>
      <c r="M168">
        <v>665534.69999999995</v>
      </c>
      <c r="N168">
        <v>113167.73</v>
      </c>
    </row>
    <row r="169" spans="1:14">
      <c r="A169" t="s">
        <v>63</v>
      </c>
      <c r="B169" s="3">
        <v>45748</v>
      </c>
      <c r="C169" t="s">
        <v>20</v>
      </c>
      <c r="D169" t="s">
        <v>28</v>
      </c>
      <c r="E169">
        <v>78432.14</v>
      </c>
      <c r="F169">
        <v>9440</v>
      </c>
      <c r="G169">
        <v>0.126</v>
      </c>
      <c r="H169">
        <v>23</v>
      </c>
      <c r="I169">
        <v>89.2</v>
      </c>
      <c r="J169">
        <v>7.86</v>
      </c>
      <c r="K169">
        <v>0</v>
      </c>
      <c r="L169">
        <v>4.0999999999999996</v>
      </c>
      <c r="M169">
        <v>820729.29</v>
      </c>
      <c r="N169">
        <v>159325.47</v>
      </c>
    </row>
    <row r="170" spans="1:14">
      <c r="A170" t="s">
        <v>64</v>
      </c>
      <c r="B170" s="3">
        <v>45658</v>
      </c>
      <c r="C170" t="s">
        <v>15</v>
      </c>
      <c r="D170" t="s">
        <v>16</v>
      </c>
      <c r="E170">
        <v>62059.18</v>
      </c>
      <c r="F170">
        <v>9374</v>
      </c>
      <c r="G170">
        <v>0.13600000000000001</v>
      </c>
      <c r="H170">
        <v>25</v>
      </c>
      <c r="I170">
        <v>87.1</v>
      </c>
      <c r="J170">
        <v>12.55</v>
      </c>
      <c r="K170">
        <v>0</v>
      </c>
      <c r="L170">
        <v>4.9000000000000004</v>
      </c>
      <c r="M170">
        <v>739831.73</v>
      </c>
      <c r="N170">
        <v>119490.21</v>
      </c>
    </row>
    <row r="171" spans="1:14">
      <c r="A171" t="s">
        <v>64</v>
      </c>
      <c r="B171" s="3">
        <v>45689</v>
      </c>
      <c r="C171" t="s">
        <v>15</v>
      </c>
      <c r="D171" t="s">
        <v>16</v>
      </c>
      <c r="E171">
        <v>32834.480000000003</v>
      </c>
      <c r="F171">
        <v>7576</v>
      </c>
      <c r="G171">
        <v>9.9000000000000005E-2</v>
      </c>
      <c r="H171">
        <v>15</v>
      </c>
      <c r="I171">
        <v>84.1</v>
      </c>
      <c r="J171">
        <v>3.48</v>
      </c>
      <c r="K171">
        <v>0</v>
      </c>
      <c r="L171">
        <v>5</v>
      </c>
      <c r="M171">
        <v>593637.14</v>
      </c>
      <c r="N171">
        <v>106648.14</v>
      </c>
    </row>
    <row r="172" spans="1:14">
      <c r="A172" t="s">
        <v>64</v>
      </c>
      <c r="B172" s="3">
        <v>45717</v>
      </c>
      <c r="C172" t="s">
        <v>15</v>
      </c>
      <c r="D172" t="s">
        <v>16</v>
      </c>
      <c r="E172">
        <v>50825.08</v>
      </c>
      <c r="F172">
        <v>8949</v>
      </c>
      <c r="G172">
        <v>0.157</v>
      </c>
      <c r="H172">
        <v>21</v>
      </c>
      <c r="I172">
        <v>84.7</v>
      </c>
      <c r="J172">
        <v>7.73</v>
      </c>
      <c r="K172">
        <v>0</v>
      </c>
      <c r="L172">
        <v>4.9000000000000004</v>
      </c>
      <c r="M172">
        <v>769702.76</v>
      </c>
      <c r="N172">
        <v>158697</v>
      </c>
    </row>
    <row r="173" spans="1:14">
      <c r="A173" t="s">
        <v>64</v>
      </c>
      <c r="B173" s="3">
        <v>45748</v>
      </c>
      <c r="C173" t="s">
        <v>15</v>
      </c>
      <c r="D173" t="s">
        <v>16</v>
      </c>
      <c r="E173">
        <v>36606.51</v>
      </c>
      <c r="F173">
        <v>7671</v>
      </c>
      <c r="G173">
        <v>0.11799999999999999</v>
      </c>
      <c r="H173">
        <v>18</v>
      </c>
      <c r="I173">
        <v>89.8</v>
      </c>
      <c r="J173">
        <v>0.25</v>
      </c>
      <c r="K173">
        <v>0</v>
      </c>
      <c r="L173">
        <v>4.4000000000000004</v>
      </c>
      <c r="M173">
        <v>679731.57</v>
      </c>
      <c r="N173">
        <v>121546.42</v>
      </c>
    </row>
    <row r="174" spans="1:14">
      <c r="A174" t="s">
        <v>65</v>
      </c>
      <c r="B174" s="3">
        <v>45658</v>
      </c>
      <c r="C174" t="s">
        <v>15</v>
      </c>
      <c r="D174" t="s">
        <v>16</v>
      </c>
      <c r="E174">
        <v>65237.79</v>
      </c>
      <c r="F174">
        <v>8741</v>
      </c>
      <c r="G174">
        <v>0.157</v>
      </c>
      <c r="H174">
        <v>20</v>
      </c>
      <c r="I174">
        <v>94.4</v>
      </c>
      <c r="J174">
        <v>6.43</v>
      </c>
      <c r="K174">
        <v>0</v>
      </c>
      <c r="L174">
        <v>3.3</v>
      </c>
      <c r="M174">
        <v>780344.18</v>
      </c>
      <c r="N174">
        <v>118239.09</v>
      </c>
    </row>
    <row r="175" spans="1:14">
      <c r="A175" t="s">
        <v>65</v>
      </c>
      <c r="B175" s="3">
        <v>45689</v>
      </c>
      <c r="C175" t="s">
        <v>15</v>
      </c>
      <c r="D175" t="s">
        <v>16</v>
      </c>
      <c r="E175">
        <v>43645.98</v>
      </c>
      <c r="F175">
        <v>9480</v>
      </c>
      <c r="G175">
        <v>0.109</v>
      </c>
      <c r="H175">
        <v>22</v>
      </c>
      <c r="I175">
        <v>89</v>
      </c>
      <c r="J175">
        <v>2.11</v>
      </c>
      <c r="K175">
        <v>0</v>
      </c>
      <c r="L175">
        <v>3.1</v>
      </c>
      <c r="M175">
        <v>721364.11</v>
      </c>
      <c r="N175">
        <v>147272.81</v>
      </c>
    </row>
    <row r="176" spans="1:14">
      <c r="A176" t="s">
        <v>65</v>
      </c>
      <c r="B176" s="3">
        <v>45717</v>
      </c>
      <c r="C176" t="s">
        <v>15</v>
      </c>
      <c r="D176" t="s">
        <v>16</v>
      </c>
      <c r="E176">
        <v>68040.149999999994</v>
      </c>
      <c r="F176">
        <v>9826</v>
      </c>
      <c r="G176">
        <v>0.125</v>
      </c>
      <c r="H176">
        <v>20</v>
      </c>
      <c r="I176">
        <v>83.9</v>
      </c>
      <c r="J176">
        <v>9.1199999999999992</v>
      </c>
      <c r="K176">
        <v>0</v>
      </c>
      <c r="L176">
        <v>3.6</v>
      </c>
      <c r="M176">
        <v>758138.29</v>
      </c>
      <c r="N176">
        <v>132975.26</v>
      </c>
    </row>
    <row r="177" spans="1:14">
      <c r="A177" t="s">
        <v>65</v>
      </c>
      <c r="B177" s="3">
        <v>45748</v>
      </c>
      <c r="C177" t="s">
        <v>15</v>
      </c>
      <c r="D177" t="s">
        <v>16</v>
      </c>
      <c r="E177">
        <v>63043.94</v>
      </c>
      <c r="F177">
        <v>10402</v>
      </c>
      <c r="G177">
        <v>0.159</v>
      </c>
      <c r="H177">
        <v>23</v>
      </c>
      <c r="I177">
        <v>93.9</v>
      </c>
      <c r="J177">
        <v>2.71</v>
      </c>
      <c r="K177">
        <v>0</v>
      </c>
      <c r="L177">
        <v>3.1</v>
      </c>
      <c r="M177">
        <v>804264</v>
      </c>
      <c r="N177">
        <v>167117.91</v>
      </c>
    </row>
    <row r="178" spans="1:14">
      <c r="A178" t="s">
        <v>66</v>
      </c>
      <c r="B178" s="3">
        <v>45658</v>
      </c>
      <c r="C178" t="s">
        <v>27</v>
      </c>
      <c r="D178" t="s">
        <v>21</v>
      </c>
      <c r="E178">
        <v>67494.09</v>
      </c>
      <c r="F178">
        <v>12361</v>
      </c>
      <c r="G178">
        <v>4.5999999999999999E-2</v>
      </c>
      <c r="H178">
        <v>24</v>
      </c>
      <c r="I178">
        <v>76.599999999999994</v>
      </c>
      <c r="J178">
        <v>3.65</v>
      </c>
      <c r="K178">
        <v>1</v>
      </c>
      <c r="L178">
        <v>3.7</v>
      </c>
      <c r="M178">
        <v>887537.75</v>
      </c>
      <c r="N178">
        <v>160362.92000000001</v>
      </c>
    </row>
    <row r="179" spans="1:14">
      <c r="A179" t="s">
        <v>66</v>
      </c>
      <c r="B179" s="3">
        <v>45689</v>
      </c>
      <c r="C179" t="s">
        <v>27</v>
      </c>
      <c r="D179" t="s">
        <v>21</v>
      </c>
      <c r="E179">
        <v>29389.32</v>
      </c>
      <c r="F179">
        <v>7925</v>
      </c>
      <c r="G179">
        <v>0.17699999999999999</v>
      </c>
      <c r="H179">
        <v>21</v>
      </c>
      <c r="I179">
        <v>90.9</v>
      </c>
      <c r="J179">
        <v>7.86</v>
      </c>
      <c r="K179">
        <v>0</v>
      </c>
      <c r="L179">
        <v>4</v>
      </c>
      <c r="M179">
        <v>783582</v>
      </c>
      <c r="N179">
        <v>130670.93</v>
      </c>
    </row>
    <row r="180" spans="1:14">
      <c r="A180" t="s">
        <v>66</v>
      </c>
      <c r="B180" s="3">
        <v>45717</v>
      </c>
      <c r="C180" t="s">
        <v>27</v>
      </c>
      <c r="D180" t="s">
        <v>21</v>
      </c>
      <c r="E180">
        <v>40535.089999999997</v>
      </c>
      <c r="F180">
        <v>8870</v>
      </c>
      <c r="G180">
        <v>4.1000000000000002E-2</v>
      </c>
      <c r="H180">
        <v>21</v>
      </c>
      <c r="I180">
        <v>86.6</v>
      </c>
      <c r="J180">
        <v>0.3</v>
      </c>
      <c r="K180">
        <v>0</v>
      </c>
      <c r="L180">
        <v>4.0999999999999996</v>
      </c>
      <c r="M180">
        <v>781955.52</v>
      </c>
      <c r="N180">
        <v>152578.71</v>
      </c>
    </row>
    <row r="181" spans="1:14">
      <c r="A181" t="s">
        <v>66</v>
      </c>
      <c r="B181" s="3">
        <v>45748</v>
      </c>
      <c r="C181" t="s">
        <v>27</v>
      </c>
      <c r="D181" t="s">
        <v>21</v>
      </c>
      <c r="E181">
        <v>74881.56</v>
      </c>
      <c r="F181">
        <v>9999</v>
      </c>
      <c r="G181">
        <v>1.2999999999999999E-2</v>
      </c>
      <c r="H181">
        <v>20</v>
      </c>
      <c r="I181">
        <v>89.6</v>
      </c>
      <c r="J181">
        <v>8.44</v>
      </c>
      <c r="K181">
        <v>0</v>
      </c>
      <c r="L181">
        <v>4.0999999999999996</v>
      </c>
      <c r="M181">
        <v>898031.04</v>
      </c>
      <c r="N181">
        <v>138666.5</v>
      </c>
    </row>
    <row r="182" spans="1:14">
      <c r="A182" t="s">
        <v>67</v>
      </c>
      <c r="B182" s="3">
        <v>45658</v>
      </c>
      <c r="C182" t="s">
        <v>27</v>
      </c>
      <c r="D182" t="s">
        <v>16</v>
      </c>
      <c r="E182">
        <v>68491.11</v>
      </c>
      <c r="F182">
        <v>11154</v>
      </c>
      <c r="G182">
        <v>1E-3</v>
      </c>
      <c r="H182">
        <v>24</v>
      </c>
      <c r="I182">
        <v>89.4</v>
      </c>
      <c r="J182">
        <v>5.27</v>
      </c>
      <c r="K182">
        <v>1</v>
      </c>
      <c r="L182">
        <v>3.9</v>
      </c>
      <c r="M182">
        <v>855341.28</v>
      </c>
      <c r="N182">
        <v>175823.8</v>
      </c>
    </row>
    <row r="183" spans="1:14">
      <c r="A183" t="s">
        <v>67</v>
      </c>
      <c r="B183" s="3">
        <v>45689</v>
      </c>
      <c r="C183" t="s">
        <v>27</v>
      </c>
      <c r="D183" t="s">
        <v>16</v>
      </c>
      <c r="E183">
        <v>45209.25</v>
      </c>
      <c r="F183">
        <v>9287</v>
      </c>
      <c r="G183">
        <v>0.14099999999999999</v>
      </c>
      <c r="H183">
        <v>22</v>
      </c>
      <c r="I183">
        <v>86.4</v>
      </c>
      <c r="J183">
        <v>13.22</v>
      </c>
      <c r="K183">
        <v>0</v>
      </c>
      <c r="L183">
        <v>3.6</v>
      </c>
      <c r="M183">
        <v>751393.88</v>
      </c>
      <c r="N183">
        <v>91480.320000000007</v>
      </c>
    </row>
    <row r="184" spans="1:14">
      <c r="A184" t="s">
        <v>67</v>
      </c>
      <c r="B184" s="3">
        <v>45717</v>
      </c>
      <c r="C184" t="s">
        <v>27</v>
      </c>
      <c r="D184" t="s">
        <v>16</v>
      </c>
      <c r="E184">
        <v>63010.23</v>
      </c>
      <c r="F184">
        <v>9812</v>
      </c>
      <c r="G184">
        <v>0.113</v>
      </c>
      <c r="H184">
        <v>24</v>
      </c>
      <c r="I184">
        <v>76.8</v>
      </c>
      <c r="J184">
        <v>1.02</v>
      </c>
      <c r="K184">
        <v>1</v>
      </c>
      <c r="L184">
        <v>3.8</v>
      </c>
      <c r="M184">
        <v>761077.08</v>
      </c>
      <c r="N184">
        <v>113605.93</v>
      </c>
    </row>
    <row r="185" spans="1:14">
      <c r="A185" t="s">
        <v>67</v>
      </c>
      <c r="B185" s="3">
        <v>45748</v>
      </c>
      <c r="C185" t="s">
        <v>27</v>
      </c>
      <c r="D185" t="s">
        <v>16</v>
      </c>
      <c r="E185">
        <v>57948.88</v>
      </c>
      <c r="F185">
        <v>10741</v>
      </c>
      <c r="G185">
        <v>7.0000000000000007E-2</v>
      </c>
      <c r="H185">
        <v>25</v>
      </c>
      <c r="I185">
        <v>90.1</v>
      </c>
      <c r="J185">
        <v>4.03</v>
      </c>
      <c r="K185">
        <v>0</v>
      </c>
      <c r="L185">
        <v>3.1</v>
      </c>
      <c r="M185">
        <v>819660.59</v>
      </c>
      <c r="N185">
        <v>172699.95</v>
      </c>
    </row>
    <row r="186" spans="1:14">
      <c r="A186" t="s">
        <v>68</v>
      </c>
      <c r="B186" s="3">
        <v>45658</v>
      </c>
      <c r="C186" t="s">
        <v>20</v>
      </c>
      <c r="D186" t="s">
        <v>18</v>
      </c>
      <c r="E186">
        <v>71941.62</v>
      </c>
      <c r="F186">
        <v>6084</v>
      </c>
      <c r="G186">
        <v>7.1999999999999995E-2</v>
      </c>
      <c r="H186">
        <v>13</v>
      </c>
      <c r="I186">
        <v>93.7</v>
      </c>
      <c r="J186">
        <v>2.34</v>
      </c>
      <c r="K186">
        <v>0</v>
      </c>
      <c r="L186">
        <v>4.4000000000000004</v>
      </c>
      <c r="M186">
        <v>681855.56</v>
      </c>
      <c r="N186">
        <v>117645.61</v>
      </c>
    </row>
    <row r="187" spans="1:14">
      <c r="A187" t="s">
        <v>68</v>
      </c>
      <c r="B187" s="3">
        <v>45689</v>
      </c>
      <c r="C187" t="s">
        <v>20</v>
      </c>
      <c r="D187" t="s">
        <v>18</v>
      </c>
      <c r="E187">
        <v>57147.88</v>
      </c>
      <c r="F187">
        <v>5252</v>
      </c>
      <c r="G187">
        <v>0.161</v>
      </c>
      <c r="H187">
        <v>15</v>
      </c>
      <c r="I187">
        <v>95.5</v>
      </c>
      <c r="J187">
        <v>8.51</v>
      </c>
      <c r="K187">
        <v>0</v>
      </c>
      <c r="L187">
        <v>4.4000000000000004</v>
      </c>
      <c r="M187">
        <v>678311.17</v>
      </c>
      <c r="N187">
        <v>132029.76000000001</v>
      </c>
    </row>
    <row r="188" spans="1:14">
      <c r="A188" t="s">
        <v>68</v>
      </c>
      <c r="B188" s="3">
        <v>45717</v>
      </c>
      <c r="C188" t="s">
        <v>20</v>
      </c>
      <c r="D188" t="s">
        <v>18</v>
      </c>
      <c r="E188">
        <v>48031.74</v>
      </c>
      <c r="F188">
        <v>6516</v>
      </c>
      <c r="G188">
        <v>6.7000000000000004E-2</v>
      </c>
      <c r="H188">
        <v>14</v>
      </c>
      <c r="I188">
        <v>99</v>
      </c>
      <c r="J188">
        <v>0.48</v>
      </c>
      <c r="K188">
        <v>1</v>
      </c>
      <c r="L188">
        <v>4.3</v>
      </c>
      <c r="M188">
        <v>765906.95</v>
      </c>
      <c r="N188">
        <v>114005.9</v>
      </c>
    </row>
    <row r="189" spans="1:14">
      <c r="A189" t="s">
        <v>68</v>
      </c>
      <c r="B189" s="3">
        <v>45748</v>
      </c>
      <c r="C189" t="s">
        <v>20</v>
      </c>
      <c r="D189" t="s">
        <v>18</v>
      </c>
      <c r="E189">
        <v>72784.800000000003</v>
      </c>
      <c r="F189">
        <v>7932</v>
      </c>
      <c r="G189">
        <v>9.4E-2</v>
      </c>
      <c r="H189">
        <v>20</v>
      </c>
      <c r="I189">
        <v>74.900000000000006</v>
      </c>
      <c r="J189">
        <v>13.62</v>
      </c>
      <c r="K189">
        <v>0</v>
      </c>
      <c r="L189">
        <v>4.2</v>
      </c>
      <c r="M189">
        <v>712546.38</v>
      </c>
      <c r="N189">
        <v>101480.04</v>
      </c>
    </row>
    <row r="190" spans="1:14">
      <c r="A190" t="s">
        <v>69</v>
      </c>
      <c r="B190" s="3">
        <v>45658</v>
      </c>
      <c r="C190" t="s">
        <v>15</v>
      </c>
      <c r="D190" t="s">
        <v>18</v>
      </c>
      <c r="E190">
        <v>71641.899999999994</v>
      </c>
      <c r="F190">
        <v>3506</v>
      </c>
      <c r="G190">
        <v>0</v>
      </c>
      <c r="H190">
        <v>11</v>
      </c>
      <c r="I190">
        <v>86.4</v>
      </c>
      <c r="J190">
        <v>7.77</v>
      </c>
      <c r="K190">
        <v>0</v>
      </c>
      <c r="L190">
        <v>4.0999999999999996</v>
      </c>
      <c r="M190">
        <v>625993.82999999996</v>
      </c>
      <c r="N190">
        <v>98960.320000000007</v>
      </c>
    </row>
    <row r="191" spans="1:14">
      <c r="A191" t="s">
        <v>69</v>
      </c>
      <c r="B191" s="3">
        <v>45689</v>
      </c>
      <c r="C191" t="s">
        <v>15</v>
      </c>
      <c r="D191" t="s">
        <v>18</v>
      </c>
      <c r="E191">
        <v>55788.61</v>
      </c>
      <c r="F191">
        <v>2312</v>
      </c>
      <c r="G191">
        <v>5.8000000000000003E-2</v>
      </c>
      <c r="H191">
        <v>10</v>
      </c>
      <c r="I191">
        <v>91.3</v>
      </c>
      <c r="J191">
        <v>1.99</v>
      </c>
      <c r="K191">
        <v>0</v>
      </c>
      <c r="L191">
        <v>3.8</v>
      </c>
      <c r="M191">
        <v>550962.93000000005</v>
      </c>
      <c r="N191">
        <v>97144.58</v>
      </c>
    </row>
    <row r="192" spans="1:14">
      <c r="A192" t="s">
        <v>69</v>
      </c>
      <c r="B192" s="3">
        <v>45717</v>
      </c>
      <c r="C192" t="s">
        <v>15</v>
      </c>
      <c r="D192" t="s">
        <v>18</v>
      </c>
      <c r="E192">
        <v>37705.879999999997</v>
      </c>
      <c r="F192">
        <v>1268</v>
      </c>
      <c r="G192">
        <v>0.25900000000000001</v>
      </c>
      <c r="H192">
        <v>9</v>
      </c>
      <c r="I192">
        <v>84.1</v>
      </c>
      <c r="J192">
        <v>4.7699999999999996</v>
      </c>
      <c r="K192">
        <v>0</v>
      </c>
      <c r="L192">
        <v>3.8</v>
      </c>
      <c r="M192">
        <v>443275.59</v>
      </c>
      <c r="N192">
        <v>53544.36</v>
      </c>
    </row>
    <row r="193" spans="1:14">
      <c r="A193" t="s">
        <v>69</v>
      </c>
      <c r="B193" s="3">
        <v>45748</v>
      </c>
      <c r="C193" t="s">
        <v>15</v>
      </c>
      <c r="D193" t="s">
        <v>18</v>
      </c>
      <c r="E193">
        <v>54966.18</v>
      </c>
      <c r="F193">
        <v>4423</v>
      </c>
      <c r="G193">
        <v>0.186</v>
      </c>
      <c r="H193">
        <v>13</v>
      </c>
      <c r="I193">
        <v>88.7</v>
      </c>
      <c r="J193">
        <v>0.2</v>
      </c>
      <c r="K193">
        <v>0</v>
      </c>
      <c r="L193">
        <v>4.4000000000000004</v>
      </c>
      <c r="M193">
        <v>554012.06999999995</v>
      </c>
      <c r="N193">
        <v>81101.62</v>
      </c>
    </row>
    <row r="194" spans="1:14">
      <c r="A194" t="s">
        <v>70</v>
      </c>
      <c r="B194" s="3">
        <v>45658</v>
      </c>
      <c r="C194" t="s">
        <v>27</v>
      </c>
      <c r="D194" t="s">
        <v>16</v>
      </c>
      <c r="E194">
        <v>81796.740000000005</v>
      </c>
      <c r="F194">
        <v>6177</v>
      </c>
      <c r="G194">
        <v>0.16400000000000001</v>
      </c>
      <c r="H194">
        <v>14</v>
      </c>
      <c r="I194">
        <v>87.9</v>
      </c>
      <c r="J194">
        <v>0.53</v>
      </c>
      <c r="K194">
        <v>0</v>
      </c>
      <c r="L194">
        <v>3.2</v>
      </c>
      <c r="M194">
        <v>643428.85</v>
      </c>
      <c r="N194">
        <v>94477.63</v>
      </c>
    </row>
    <row r="195" spans="1:14">
      <c r="A195" t="s">
        <v>70</v>
      </c>
      <c r="B195" s="3">
        <v>45689</v>
      </c>
      <c r="C195" t="s">
        <v>27</v>
      </c>
      <c r="D195" t="s">
        <v>16</v>
      </c>
      <c r="E195">
        <v>51133.43</v>
      </c>
      <c r="F195">
        <v>5150</v>
      </c>
      <c r="G195">
        <v>0.15</v>
      </c>
      <c r="H195">
        <v>12</v>
      </c>
      <c r="I195">
        <v>88.5</v>
      </c>
      <c r="J195">
        <v>1.54</v>
      </c>
      <c r="K195">
        <v>0</v>
      </c>
      <c r="L195">
        <v>3.2</v>
      </c>
      <c r="M195">
        <v>611924.27</v>
      </c>
      <c r="N195">
        <v>115488.75</v>
      </c>
    </row>
    <row r="196" spans="1:14">
      <c r="A196" t="s">
        <v>70</v>
      </c>
      <c r="B196" s="3">
        <v>45717</v>
      </c>
      <c r="C196" t="s">
        <v>27</v>
      </c>
      <c r="D196" t="s">
        <v>16</v>
      </c>
      <c r="E196">
        <v>40220.18</v>
      </c>
      <c r="F196">
        <v>3783</v>
      </c>
      <c r="G196">
        <v>8.8999999999999996E-2</v>
      </c>
      <c r="H196">
        <v>14</v>
      </c>
      <c r="I196">
        <v>86.6</v>
      </c>
      <c r="J196">
        <v>3.63</v>
      </c>
      <c r="K196">
        <v>0</v>
      </c>
      <c r="L196">
        <v>3.7</v>
      </c>
      <c r="M196">
        <v>559422.02</v>
      </c>
      <c r="N196">
        <v>73528.740000000005</v>
      </c>
    </row>
    <row r="197" spans="1:14">
      <c r="A197" t="s">
        <v>70</v>
      </c>
      <c r="B197" s="3">
        <v>45748</v>
      </c>
      <c r="C197" t="s">
        <v>27</v>
      </c>
      <c r="D197" t="s">
        <v>16</v>
      </c>
      <c r="E197">
        <v>41657.64</v>
      </c>
      <c r="F197">
        <v>3135</v>
      </c>
      <c r="G197">
        <v>0.22900000000000001</v>
      </c>
      <c r="H197">
        <v>7</v>
      </c>
      <c r="I197">
        <v>85.4</v>
      </c>
      <c r="J197">
        <v>13.48</v>
      </c>
      <c r="K197">
        <v>0</v>
      </c>
      <c r="L197" s="6">
        <v>3.92</v>
      </c>
      <c r="M197">
        <v>449465.06</v>
      </c>
      <c r="N197">
        <v>65694.78</v>
      </c>
    </row>
    <row r="198" spans="1:14">
      <c r="A198" t="s">
        <v>71</v>
      </c>
      <c r="B198" s="3">
        <v>45658</v>
      </c>
      <c r="C198" t="s">
        <v>20</v>
      </c>
      <c r="D198" t="s">
        <v>16</v>
      </c>
      <c r="E198">
        <v>71851.45</v>
      </c>
      <c r="F198">
        <v>4970</v>
      </c>
      <c r="G198">
        <v>9.8000000000000004E-2</v>
      </c>
      <c r="H198">
        <v>11</v>
      </c>
      <c r="I198">
        <v>89.6</v>
      </c>
      <c r="J198">
        <v>0.2</v>
      </c>
      <c r="K198">
        <v>0</v>
      </c>
      <c r="L198">
        <v>4.2</v>
      </c>
      <c r="M198">
        <v>691447.43</v>
      </c>
      <c r="N198">
        <v>114077.69</v>
      </c>
    </row>
    <row r="199" spans="1:14">
      <c r="A199" t="s">
        <v>71</v>
      </c>
      <c r="B199" s="3">
        <v>45689</v>
      </c>
      <c r="C199" t="s">
        <v>20</v>
      </c>
      <c r="D199" t="s">
        <v>16</v>
      </c>
      <c r="E199">
        <v>54002.83</v>
      </c>
      <c r="F199">
        <v>4366</v>
      </c>
      <c r="G199">
        <v>2.7E-2</v>
      </c>
      <c r="H199">
        <v>15</v>
      </c>
      <c r="I199">
        <v>90.6</v>
      </c>
      <c r="J199">
        <v>12.82</v>
      </c>
      <c r="K199">
        <v>0</v>
      </c>
      <c r="L199">
        <v>4.5999999999999996</v>
      </c>
      <c r="M199">
        <v>574066.61</v>
      </c>
      <c r="N199">
        <v>124674.67</v>
      </c>
    </row>
    <row r="200" spans="1:14">
      <c r="A200" t="s">
        <v>71</v>
      </c>
      <c r="B200" s="3">
        <v>45717</v>
      </c>
      <c r="C200" t="s">
        <v>20</v>
      </c>
      <c r="D200" t="s">
        <v>16</v>
      </c>
      <c r="E200">
        <v>54479.33</v>
      </c>
      <c r="F200">
        <v>5012</v>
      </c>
      <c r="G200">
        <v>0.28399999999999997</v>
      </c>
      <c r="H200">
        <v>13</v>
      </c>
      <c r="I200">
        <v>86</v>
      </c>
      <c r="J200">
        <v>2.2400000000000002</v>
      </c>
      <c r="K200">
        <v>1</v>
      </c>
      <c r="L200">
        <v>4.3</v>
      </c>
      <c r="M200">
        <v>578949.84</v>
      </c>
      <c r="N200">
        <v>80253.649999999994</v>
      </c>
    </row>
    <row r="201" spans="1:14">
      <c r="A201" t="s">
        <v>71</v>
      </c>
      <c r="B201" s="3">
        <v>45748</v>
      </c>
      <c r="C201" t="s">
        <v>20</v>
      </c>
      <c r="D201" t="s">
        <v>16</v>
      </c>
      <c r="E201">
        <v>61391.8</v>
      </c>
      <c r="F201">
        <v>5575</v>
      </c>
      <c r="G201">
        <v>0.189</v>
      </c>
      <c r="H201">
        <v>18</v>
      </c>
      <c r="I201">
        <v>90</v>
      </c>
      <c r="J201">
        <v>1.8</v>
      </c>
      <c r="K201">
        <v>0</v>
      </c>
      <c r="L201">
        <v>4.8</v>
      </c>
      <c r="M201">
        <v>735786.64</v>
      </c>
      <c r="N201">
        <v>126540.66</v>
      </c>
    </row>
    <row r="202" spans="1:14">
      <c r="A202" t="s">
        <v>72</v>
      </c>
      <c r="B202" s="3">
        <v>45658</v>
      </c>
      <c r="C202" t="s">
        <v>15</v>
      </c>
      <c r="D202" t="s">
        <v>21</v>
      </c>
      <c r="E202">
        <v>22312.93</v>
      </c>
      <c r="F202">
        <v>5955</v>
      </c>
      <c r="G202">
        <v>0.123</v>
      </c>
      <c r="H202">
        <v>13</v>
      </c>
      <c r="I202">
        <v>84.2</v>
      </c>
      <c r="J202">
        <v>0.41</v>
      </c>
      <c r="K202">
        <v>1</v>
      </c>
      <c r="L202">
        <v>4.5999999999999996</v>
      </c>
      <c r="M202">
        <v>598904.9</v>
      </c>
      <c r="N202">
        <v>72861</v>
      </c>
    </row>
    <row r="203" spans="1:14">
      <c r="A203" t="s">
        <v>72</v>
      </c>
      <c r="B203" s="3">
        <v>45689</v>
      </c>
      <c r="C203" t="s">
        <v>15</v>
      </c>
      <c r="D203" t="s">
        <v>21</v>
      </c>
      <c r="E203">
        <v>78111.97</v>
      </c>
      <c r="F203">
        <v>6389</v>
      </c>
      <c r="G203">
        <v>0.15</v>
      </c>
      <c r="H203">
        <v>13</v>
      </c>
      <c r="I203">
        <v>83.9</v>
      </c>
      <c r="J203">
        <v>3.05</v>
      </c>
      <c r="K203">
        <v>0</v>
      </c>
      <c r="L203">
        <v>4.8</v>
      </c>
      <c r="M203">
        <v>787715.51</v>
      </c>
      <c r="N203">
        <v>128969.62</v>
      </c>
    </row>
    <row r="204" spans="1:14">
      <c r="A204" t="s">
        <v>72</v>
      </c>
      <c r="B204" s="3">
        <v>45717</v>
      </c>
      <c r="C204" t="s">
        <v>15</v>
      </c>
      <c r="D204" t="s">
        <v>21</v>
      </c>
      <c r="E204">
        <v>35203.230000000003</v>
      </c>
      <c r="F204">
        <v>6896</v>
      </c>
      <c r="G204">
        <v>3.2000000000000001E-2</v>
      </c>
      <c r="H204">
        <v>14</v>
      </c>
      <c r="I204">
        <v>80.8</v>
      </c>
      <c r="J204">
        <v>8.44</v>
      </c>
      <c r="K204">
        <v>1</v>
      </c>
      <c r="L204">
        <v>5</v>
      </c>
      <c r="M204">
        <v>607084.92000000004</v>
      </c>
      <c r="N204">
        <v>98558.49</v>
      </c>
    </row>
    <row r="205" spans="1:14">
      <c r="A205" t="s">
        <v>72</v>
      </c>
      <c r="B205" s="3">
        <v>45748</v>
      </c>
      <c r="C205" t="s">
        <v>15</v>
      </c>
      <c r="D205" t="s">
        <v>21</v>
      </c>
      <c r="E205">
        <v>64104.28</v>
      </c>
      <c r="F205">
        <v>6015</v>
      </c>
      <c r="G205">
        <v>0.127</v>
      </c>
      <c r="H205">
        <v>15</v>
      </c>
      <c r="I205">
        <v>88.7</v>
      </c>
      <c r="J205">
        <v>0.78</v>
      </c>
      <c r="K205">
        <v>0</v>
      </c>
      <c r="L205">
        <v>4</v>
      </c>
      <c r="M205">
        <v>650795.49</v>
      </c>
      <c r="N205">
        <v>103035.89</v>
      </c>
    </row>
    <row r="206" spans="1:14">
      <c r="A206" t="s">
        <v>73</v>
      </c>
      <c r="B206" s="3">
        <v>45658</v>
      </c>
      <c r="C206" t="s">
        <v>15</v>
      </c>
      <c r="D206" t="s">
        <v>28</v>
      </c>
      <c r="E206">
        <v>92090.14</v>
      </c>
      <c r="F206">
        <v>9476</v>
      </c>
      <c r="G206">
        <v>7.0000000000000007E-2</v>
      </c>
      <c r="H206">
        <v>24</v>
      </c>
      <c r="I206">
        <v>94.3</v>
      </c>
      <c r="J206">
        <v>0.87</v>
      </c>
      <c r="K206">
        <v>0</v>
      </c>
      <c r="L206">
        <v>3.7</v>
      </c>
      <c r="M206">
        <v>825060.52</v>
      </c>
      <c r="N206">
        <v>143613.15</v>
      </c>
    </row>
    <row r="207" spans="1:14">
      <c r="A207" t="s">
        <v>73</v>
      </c>
      <c r="B207" s="3">
        <v>45689</v>
      </c>
      <c r="C207" t="s">
        <v>15</v>
      </c>
      <c r="D207" t="s">
        <v>28</v>
      </c>
      <c r="E207">
        <v>54300.87</v>
      </c>
      <c r="F207">
        <v>7875</v>
      </c>
      <c r="G207">
        <v>0.107</v>
      </c>
      <c r="H207">
        <v>19</v>
      </c>
      <c r="I207">
        <v>94.1</v>
      </c>
      <c r="J207">
        <v>0.95</v>
      </c>
      <c r="K207">
        <v>0</v>
      </c>
      <c r="L207">
        <v>3.7</v>
      </c>
      <c r="M207">
        <v>795464.47</v>
      </c>
      <c r="N207">
        <v>161150.51999999999</v>
      </c>
    </row>
    <row r="208" spans="1:14">
      <c r="A208" t="s">
        <v>73</v>
      </c>
      <c r="B208" s="3">
        <v>45717</v>
      </c>
      <c r="C208" t="s">
        <v>15</v>
      </c>
      <c r="D208" t="s">
        <v>28</v>
      </c>
      <c r="E208">
        <v>37983.35</v>
      </c>
      <c r="F208">
        <v>9283</v>
      </c>
      <c r="G208">
        <v>0.14899999999999999</v>
      </c>
      <c r="H208">
        <v>19</v>
      </c>
      <c r="I208">
        <v>83.2</v>
      </c>
      <c r="J208">
        <v>3.82</v>
      </c>
      <c r="K208">
        <v>0</v>
      </c>
      <c r="L208">
        <v>3.7</v>
      </c>
      <c r="M208">
        <v>671868.59</v>
      </c>
      <c r="N208">
        <v>71003.28</v>
      </c>
    </row>
    <row r="209" spans="1:14">
      <c r="A209" t="s">
        <v>73</v>
      </c>
      <c r="B209" s="3">
        <v>45748</v>
      </c>
      <c r="C209" t="s">
        <v>15</v>
      </c>
      <c r="D209" t="s">
        <v>28</v>
      </c>
      <c r="E209">
        <v>56413.83</v>
      </c>
      <c r="F209">
        <v>8303</v>
      </c>
      <c r="G209">
        <v>0.11600000000000001</v>
      </c>
      <c r="H209">
        <v>18</v>
      </c>
      <c r="I209">
        <v>93.6</v>
      </c>
      <c r="J209">
        <v>2.7</v>
      </c>
      <c r="K209">
        <v>0</v>
      </c>
      <c r="L209">
        <v>3.7</v>
      </c>
      <c r="M209">
        <v>675917.63</v>
      </c>
      <c r="N209">
        <v>112564.75</v>
      </c>
    </row>
    <row r="210" spans="1:14">
      <c r="A210" t="s">
        <v>74</v>
      </c>
      <c r="B210" s="3">
        <v>45658</v>
      </c>
      <c r="C210" t="s">
        <v>15</v>
      </c>
      <c r="D210" t="s">
        <v>18</v>
      </c>
      <c r="E210">
        <v>63457.19</v>
      </c>
      <c r="F210">
        <v>10125</v>
      </c>
      <c r="G210">
        <v>9.7000000000000003E-2</v>
      </c>
      <c r="H210">
        <v>24</v>
      </c>
      <c r="I210">
        <v>87</v>
      </c>
      <c r="J210">
        <v>3.84</v>
      </c>
      <c r="K210">
        <v>1</v>
      </c>
      <c r="L210">
        <v>3.7</v>
      </c>
      <c r="M210">
        <v>810446.53</v>
      </c>
      <c r="N210">
        <v>200575.34</v>
      </c>
    </row>
    <row r="211" spans="1:14">
      <c r="A211" t="s">
        <v>74</v>
      </c>
      <c r="B211" s="3">
        <v>45689</v>
      </c>
      <c r="C211" t="s">
        <v>15</v>
      </c>
      <c r="D211" t="s">
        <v>18</v>
      </c>
      <c r="E211">
        <v>62949.7</v>
      </c>
      <c r="F211">
        <v>9458</v>
      </c>
      <c r="G211">
        <v>0.17100000000000001</v>
      </c>
      <c r="H211">
        <v>19</v>
      </c>
      <c r="I211">
        <v>84.9</v>
      </c>
      <c r="J211">
        <v>5.09</v>
      </c>
      <c r="K211">
        <v>0</v>
      </c>
      <c r="L211">
        <v>3.3</v>
      </c>
      <c r="M211">
        <v>691288.19</v>
      </c>
      <c r="N211">
        <v>159074.14000000001</v>
      </c>
    </row>
    <row r="212" spans="1:14">
      <c r="A212" t="s">
        <v>74</v>
      </c>
      <c r="B212" s="3">
        <v>45717</v>
      </c>
      <c r="C212" t="s">
        <v>15</v>
      </c>
      <c r="D212" t="s">
        <v>18</v>
      </c>
      <c r="E212">
        <v>107970.19</v>
      </c>
      <c r="F212">
        <v>12870</v>
      </c>
      <c r="G212">
        <v>2.9000000000000001E-2</v>
      </c>
      <c r="H212">
        <v>31</v>
      </c>
      <c r="I212">
        <v>91.7</v>
      </c>
      <c r="J212">
        <v>3.82</v>
      </c>
      <c r="K212">
        <v>1</v>
      </c>
      <c r="L212">
        <v>3.7</v>
      </c>
      <c r="M212">
        <v>946833.54</v>
      </c>
      <c r="N212">
        <v>184540.31</v>
      </c>
    </row>
    <row r="213" spans="1:14">
      <c r="A213" t="s">
        <v>74</v>
      </c>
      <c r="B213" s="3">
        <v>45748</v>
      </c>
      <c r="C213" t="s">
        <v>15</v>
      </c>
      <c r="D213" t="s">
        <v>18</v>
      </c>
      <c r="E213">
        <v>49405.75</v>
      </c>
      <c r="F213">
        <v>9752</v>
      </c>
      <c r="G213">
        <v>9.2999999999999999E-2</v>
      </c>
      <c r="H213">
        <v>21</v>
      </c>
      <c r="I213">
        <v>87</v>
      </c>
      <c r="J213">
        <v>12.28</v>
      </c>
      <c r="K213">
        <v>0</v>
      </c>
      <c r="L213">
        <v>4.0999999999999996</v>
      </c>
      <c r="M213">
        <v>761963.23</v>
      </c>
      <c r="N213">
        <v>150113.60999999999</v>
      </c>
    </row>
    <row r="214" spans="1:14">
      <c r="A214" t="s">
        <v>75</v>
      </c>
      <c r="B214" s="3">
        <v>45658</v>
      </c>
      <c r="C214" t="s">
        <v>27</v>
      </c>
      <c r="D214" t="s">
        <v>16</v>
      </c>
      <c r="E214">
        <v>50887.46</v>
      </c>
      <c r="F214">
        <v>9505</v>
      </c>
      <c r="G214">
        <v>9.0999999999999998E-2</v>
      </c>
      <c r="H214">
        <v>25</v>
      </c>
      <c r="I214">
        <v>89.7</v>
      </c>
      <c r="J214">
        <v>2.8</v>
      </c>
      <c r="K214">
        <v>0</v>
      </c>
      <c r="L214">
        <v>4.3</v>
      </c>
      <c r="M214">
        <v>812152.6</v>
      </c>
      <c r="N214">
        <v>138419.43</v>
      </c>
    </row>
    <row r="215" spans="1:14">
      <c r="A215" t="s">
        <v>75</v>
      </c>
      <c r="B215" s="3">
        <v>45689</v>
      </c>
      <c r="C215" t="s">
        <v>27</v>
      </c>
      <c r="D215" t="s">
        <v>16</v>
      </c>
      <c r="E215">
        <v>41819.449999999997</v>
      </c>
      <c r="F215">
        <v>9412</v>
      </c>
      <c r="G215">
        <v>0.15</v>
      </c>
      <c r="H215">
        <v>22</v>
      </c>
      <c r="I215">
        <v>91</v>
      </c>
      <c r="J215">
        <v>3.67</v>
      </c>
      <c r="K215">
        <v>0</v>
      </c>
      <c r="L215">
        <v>4.2</v>
      </c>
      <c r="M215">
        <v>804975.5</v>
      </c>
      <c r="N215">
        <v>140054.5</v>
      </c>
    </row>
    <row r="216" spans="1:14">
      <c r="A216" t="s">
        <v>75</v>
      </c>
      <c r="B216" s="3">
        <v>45717</v>
      </c>
      <c r="C216" t="s">
        <v>27</v>
      </c>
      <c r="D216" t="s">
        <v>16</v>
      </c>
      <c r="E216">
        <v>35296.54</v>
      </c>
      <c r="F216">
        <v>9644</v>
      </c>
      <c r="G216">
        <v>0</v>
      </c>
      <c r="H216">
        <v>22</v>
      </c>
      <c r="I216">
        <v>88</v>
      </c>
      <c r="J216">
        <v>2.81</v>
      </c>
      <c r="K216">
        <v>0</v>
      </c>
      <c r="L216">
        <v>4.7</v>
      </c>
      <c r="M216">
        <v>752321.72</v>
      </c>
      <c r="N216">
        <v>137788.51</v>
      </c>
    </row>
    <row r="217" spans="1:14">
      <c r="A217" t="s">
        <v>75</v>
      </c>
      <c r="B217" s="3">
        <v>45748</v>
      </c>
      <c r="C217" t="s">
        <v>27</v>
      </c>
      <c r="D217" t="s">
        <v>16</v>
      </c>
      <c r="E217">
        <v>47391.09</v>
      </c>
      <c r="F217">
        <v>11224</v>
      </c>
      <c r="G217">
        <v>0.14699999999999999</v>
      </c>
      <c r="H217">
        <v>25</v>
      </c>
      <c r="I217">
        <v>88.4</v>
      </c>
      <c r="J217">
        <v>2.44</v>
      </c>
      <c r="K217">
        <v>0</v>
      </c>
      <c r="L217">
        <v>4.9000000000000004</v>
      </c>
      <c r="M217">
        <v>836908.24</v>
      </c>
      <c r="N217">
        <v>141090.26</v>
      </c>
    </row>
    <row r="218" spans="1:14">
      <c r="A218" t="s">
        <v>76</v>
      </c>
      <c r="B218" s="3">
        <v>45658</v>
      </c>
      <c r="C218" t="s">
        <v>20</v>
      </c>
      <c r="D218" t="s">
        <v>21</v>
      </c>
      <c r="E218">
        <v>69180.539999999994</v>
      </c>
      <c r="F218">
        <v>5394</v>
      </c>
      <c r="G218">
        <v>0.126</v>
      </c>
      <c r="H218">
        <v>12</v>
      </c>
      <c r="I218">
        <v>82.9</v>
      </c>
      <c r="J218">
        <v>3.27</v>
      </c>
      <c r="K218">
        <v>0</v>
      </c>
      <c r="L218">
        <v>3.3</v>
      </c>
      <c r="M218">
        <v>674289.1</v>
      </c>
      <c r="N218">
        <v>117773.79</v>
      </c>
    </row>
    <row r="219" spans="1:14">
      <c r="A219" t="s">
        <v>76</v>
      </c>
      <c r="B219" s="3">
        <v>45689</v>
      </c>
      <c r="C219" t="s">
        <v>20</v>
      </c>
      <c r="D219" t="s">
        <v>21</v>
      </c>
      <c r="E219">
        <v>33987.33</v>
      </c>
      <c r="F219">
        <v>5014</v>
      </c>
      <c r="G219">
        <v>0.246</v>
      </c>
      <c r="H219">
        <v>17</v>
      </c>
      <c r="I219">
        <v>94.3</v>
      </c>
      <c r="J219">
        <v>10.34</v>
      </c>
      <c r="K219">
        <v>0</v>
      </c>
      <c r="L219">
        <v>3.9</v>
      </c>
      <c r="M219">
        <v>622892.42000000004</v>
      </c>
      <c r="N219">
        <v>101032.52</v>
      </c>
    </row>
    <row r="220" spans="1:14">
      <c r="A220" t="s">
        <v>76</v>
      </c>
      <c r="B220" s="3">
        <v>45717</v>
      </c>
      <c r="C220" t="s">
        <v>20</v>
      </c>
      <c r="D220" t="s">
        <v>21</v>
      </c>
      <c r="E220">
        <v>58785.33</v>
      </c>
      <c r="F220">
        <v>4467</v>
      </c>
      <c r="G220">
        <v>0.22900000000000001</v>
      </c>
      <c r="H220">
        <v>14</v>
      </c>
      <c r="I220">
        <v>90.7</v>
      </c>
      <c r="J220">
        <v>1.92</v>
      </c>
      <c r="K220">
        <v>0</v>
      </c>
      <c r="L220">
        <v>3.7</v>
      </c>
      <c r="M220">
        <v>673348.56</v>
      </c>
      <c r="N220">
        <v>69464.59</v>
      </c>
    </row>
    <row r="221" spans="1:14">
      <c r="A221" t="s">
        <v>76</v>
      </c>
      <c r="B221" s="3">
        <v>45748</v>
      </c>
      <c r="C221" t="s">
        <v>20</v>
      </c>
      <c r="D221" t="s">
        <v>21</v>
      </c>
      <c r="E221">
        <v>16451.849999999999</v>
      </c>
      <c r="F221">
        <v>4678</v>
      </c>
      <c r="G221">
        <v>0.13300000000000001</v>
      </c>
      <c r="H221">
        <v>11</v>
      </c>
      <c r="I221">
        <v>95.9</v>
      </c>
      <c r="J221">
        <v>3.1</v>
      </c>
      <c r="K221">
        <v>0</v>
      </c>
      <c r="L221">
        <v>3.9</v>
      </c>
      <c r="M221">
        <v>606278.30000000005</v>
      </c>
      <c r="N221">
        <v>102213.26</v>
      </c>
    </row>
    <row r="222" spans="1:14">
      <c r="A222" t="s">
        <v>77</v>
      </c>
      <c r="B222" s="3">
        <v>45658</v>
      </c>
      <c r="C222" t="s">
        <v>15</v>
      </c>
      <c r="D222" t="s">
        <v>18</v>
      </c>
      <c r="E222">
        <v>53367.73</v>
      </c>
      <c r="F222">
        <v>7291</v>
      </c>
      <c r="G222">
        <v>0.14599999999999999</v>
      </c>
      <c r="H222">
        <v>18</v>
      </c>
      <c r="I222">
        <v>90.6</v>
      </c>
      <c r="J222">
        <v>6.34</v>
      </c>
      <c r="K222">
        <v>1</v>
      </c>
      <c r="L222">
        <v>3.8</v>
      </c>
      <c r="M222">
        <v>712219.81</v>
      </c>
      <c r="N222">
        <v>85906.54</v>
      </c>
    </row>
    <row r="223" spans="1:14">
      <c r="A223" t="s">
        <v>77</v>
      </c>
      <c r="B223" s="3">
        <v>45689</v>
      </c>
      <c r="C223" t="s">
        <v>15</v>
      </c>
      <c r="D223" t="s">
        <v>18</v>
      </c>
      <c r="E223">
        <v>27194.639999999999</v>
      </c>
      <c r="F223">
        <v>7404</v>
      </c>
      <c r="G223">
        <v>8.7999999999999995E-2</v>
      </c>
      <c r="H223">
        <v>18</v>
      </c>
      <c r="I223">
        <v>90.2</v>
      </c>
      <c r="J223">
        <v>1.2</v>
      </c>
      <c r="K223">
        <v>0</v>
      </c>
      <c r="L223">
        <v>3.4</v>
      </c>
      <c r="M223">
        <v>672670.54</v>
      </c>
      <c r="N223">
        <v>132684.18</v>
      </c>
    </row>
    <row r="224" spans="1:14">
      <c r="A224" t="s">
        <v>77</v>
      </c>
      <c r="B224" s="3">
        <v>45717</v>
      </c>
      <c r="C224" t="s">
        <v>15</v>
      </c>
      <c r="D224" t="s">
        <v>18</v>
      </c>
      <c r="E224">
        <v>66962.740000000005</v>
      </c>
      <c r="F224">
        <v>7880</v>
      </c>
      <c r="G224">
        <v>0.11600000000000001</v>
      </c>
      <c r="H224">
        <v>19</v>
      </c>
      <c r="I224">
        <v>90.4</v>
      </c>
      <c r="J224">
        <v>4.5</v>
      </c>
      <c r="K224">
        <v>0</v>
      </c>
      <c r="L224">
        <v>3.3</v>
      </c>
      <c r="M224">
        <v>732667.92</v>
      </c>
      <c r="N224">
        <v>128654.46</v>
      </c>
    </row>
    <row r="225" spans="1:14">
      <c r="A225" t="s">
        <v>77</v>
      </c>
      <c r="B225" s="3">
        <v>45748</v>
      </c>
      <c r="C225" t="s">
        <v>15</v>
      </c>
      <c r="D225" t="s">
        <v>18</v>
      </c>
      <c r="E225">
        <v>73540.990000000005</v>
      </c>
      <c r="F225">
        <v>8773</v>
      </c>
      <c r="G225">
        <v>3.5000000000000003E-2</v>
      </c>
      <c r="H225">
        <v>21</v>
      </c>
      <c r="I225">
        <v>84.4</v>
      </c>
      <c r="J225">
        <v>6.68</v>
      </c>
      <c r="K225">
        <v>0</v>
      </c>
      <c r="L225">
        <v>3.6</v>
      </c>
      <c r="M225">
        <v>723531.4</v>
      </c>
      <c r="N225">
        <v>108794.85</v>
      </c>
    </row>
    <row r="226" spans="1:14">
      <c r="A226" t="s">
        <v>78</v>
      </c>
      <c r="B226" s="3">
        <v>45658</v>
      </c>
      <c r="C226" t="s">
        <v>15</v>
      </c>
      <c r="D226" t="s">
        <v>28</v>
      </c>
      <c r="E226">
        <v>68212.289999999994</v>
      </c>
      <c r="F226">
        <v>4713</v>
      </c>
      <c r="G226">
        <v>0.19800000000000001</v>
      </c>
      <c r="H226">
        <v>15</v>
      </c>
      <c r="I226">
        <v>82.6</v>
      </c>
      <c r="J226">
        <v>4.07</v>
      </c>
      <c r="K226">
        <v>1</v>
      </c>
      <c r="L226">
        <v>3</v>
      </c>
      <c r="M226">
        <v>641564.6</v>
      </c>
      <c r="N226">
        <v>90468.96</v>
      </c>
    </row>
    <row r="227" spans="1:14">
      <c r="A227" t="s">
        <v>78</v>
      </c>
      <c r="B227" s="3">
        <v>45689</v>
      </c>
      <c r="C227" t="s">
        <v>15</v>
      </c>
      <c r="D227" t="s">
        <v>28</v>
      </c>
      <c r="E227">
        <v>57225.98</v>
      </c>
      <c r="F227">
        <v>2842</v>
      </c>
      <c r="G227">
        <v>0.112</v>
      </c>
      <c r="H227">
        <v>10</v>
      </c>
      <c r="I227">
        <v>79.5</v>
      </c>
      <c r="J227">
        <v>5.45</v>
      </c>
      <c r="K227">
        <v>0</v>
      </c>
      <c r="L227">
        <v>3.4</v>
      </c>
      <c r="M227">
        <v>536545.49</v>
      </c>
      <c r="N227">
        <v>97917.45</v>
      </c>
    </row>
    <row r="228" spans="1:14">
      <c r="A228" t="s">
        <v>78</v>
      </c>
      <c r="B228" s="3">
        <v>45717</v>
      </c>
      <c r="C228" t="s">
        <v>15</v>
      </c>
      <c r="D228" t="s">
        <v>28</v>
      </c>
      <c r="E228">
        <v>42932.02</v>
      </c>
      <c r="F228">
        <v>3872</v>
      </c>
      <c r="G228">
        <v>0.17100000000000001</v>
      </c>
      <c r="H228">
        <v>12</v>
      </c>
      <c r="I228">
        <v>83.2</v>
      </c>
      <c r="J228">
        <v>15.58</v>
      </c>
      <c r="K228">
        <v>0</v>
      </c>
      <c r="L228">
        <v>3.3</v>
      </c>
      <c r="M228">
        <v>527681.56000000006</v>
      </c>
      <c r="N228">
        <v>63153.05</v>
      </c>
    </row>
    <row r="229" spans="1:14">
      <c r="A229" t="s">
        <v>78</v>
      </c>
      <c r="B229" s="3">
        <v>45748</v>
      </c>
      <c r="C229" t="s">
        <v>15</v>
      </c>
      <c r="D229" t="s">
        <v>28</v>
      </c>
      <c r="E229">
        <v>39341.449999999997</v>
      </c>
      <c r="F229">
        <v>1375</v>
      </c>
      <c r="G229">
        <v>9.2999999999999999E-2</v>
      </c>
      <c r="H229">
        <v>5</v>
      </c>
      <c r="I229">
        <v>95</v>
      </c>
      <c r="J229">
        <v>5.32</v>
      </c>
      <c r="K229">
        <v>0</v>
      </c>
      <c r="L229" s="6">
        <v>3.92</v>
      </c>
      <c r="M229">
        <v>529598.93999999994</v>
      </c>
      <c r="N229">
        <v>84334.33</v>
      </c>
    </row>
    <row r="230" spans="1:14">
      <c r="A230" t="s">
        <v>79</v>
      </c>
      <c r="B230" s="3">
        <v>45658</v>
      </c>
      <c r="C230" t="s">
        <v>15</v>
      </c>
      <c r="D230" t="s">
        <v>18</v>
      </c>
      <c r="E230">
        <v>37324.230000000003</v>
      </c>
      <c r="F230">
        <v>5957</v>
      </c>
      <c r="G230">
        <v>7.0999999999999994E-2</v>
      </c>
      <c r="H230">
        <v>12</v>
      </c>
      <c r="I230">
        <v>85.9</v>
      </c>
      <c r="J230">
        <v>0.37</v>
      </c>
      <c r="K230">
        <v>0</v>
      </c>
      <c r="L230">
        <v>3.8</v>
      </c>
      <c r="M230">
        <v>570963.31000000006</v>
      </c>
      <c r="N230">
        <v>87342.25</v>
      </c>
    </row>
    <row r="231" spans="1:14">
      <c r="A231" t="s">
        <v>79</v>
      </c>
      <c r="B231" s="3">
        <v>45689</v>
      </c>
      <c r="C231" t="s">
        <v>15</v>
      </c>
      <c r="D231" t="s">
        <v>18</v>
      </c>
      <c r="E231">
        <v>113736</v>
      </c>
      <c r="F231">
        <v>8961</v>
      </c>
      <c r="G231">
        <v>0.20200000000000001</v>
      </c>
      <c r="H231">
        <v>24</v>
      </c>
      <c r="I231">
        <v>86.2</v>
      </c>
      <c r="J231">
        <v>21.63</v>
      </c>
      <c r="K231">
        <v>0</v>
      </c>
      <c r="L231">
        <v>4</v>
      </c>
      <c r="M231">
        <v>870937.4</v>
      </c>
      <c r="N231">
        <v>175282.74</v>
      </c>
    </row>
    <row r="232" spans="1:14">
      <c r="A232" t="s">
        <v>79</v>
      </c>
      <c r="B232" s="3">
        <v>45717</v>
      </c>
      <c r="C232" t="s">
        <v>15</v>
      </c>
      <c r="D232" t="s">
        <v>18</v>
      </c>
      <c r="E232">
        <v>33173.949999999997</v>
      </c>
      <c r="F232">
        <v>6545</v>
      </c>
      <c r="G232">
        <v>0.16900000000000001</v>
      </c>
      <c r="H232">
        <v>15</v>
      </c>
      <c r="I232">
        <v>84.4</v>
      </c>
      <c r="J232">
        <v>2.48</v>
      </c>
      <c r="K232">
        <v>0</v>
      </c>
      <c r="L232">
        <v>3.9</v>
      </c>
      <c r="M232">
        <v>596969.27</v>
      </c>
      <c r="N232">
        <v>105669.51</v>
      </c>
    </row>
    <row r="233" spans="1:14">
      <c r="A233" t="s">
        <v>79</v>
      </c>
      <c r="B233" s="3">
        <v>45748</v>
      </c>
      <c r="C233" t="s">
        <v>15</v>
      </c>
      <c r="D233" t="s">
        <v>18</v>
      </c>
      <c r="E233">
        <v>25818.080000000002</v>
      </c>
      <c r="F233">
        <v>5457</v>
      </c>
      <c r="G233">
        <v>0</v>
      </c>
      <c r="H233">
        <v>11</v>
      </c>
      <c r="I233">
        <v>95.4</v>
      </c>
      <c r="J233" s="6">
        <v>4.5599999999999996</v>
      </c>
      <c r="K233">
        <v>0</v>
      </c>
      <c r="L233">
        <v>3.7</v>
      </c>
      <c r="M233">
        <v>647512.85</v>
      </c>
      <c r="N233">
        <v>153835.57</v>
      </c>
    </row>
    <row r="234" spans="1:14">
      <c r="A234" t="s">
        <v>80</v>
      </c>
      <c r="B234" s="3">
        <v>45658</v>
      </c>
      <c r="C234" t="s">
        <v>27</v>
      </c>
      <c r="D234" t="s">
        <v>16</v>
      </c>
      <c r="E234">
        <v>47241.919999999998</v>
      </c>
      <c r="F234">
        <v>4264</v>
      </c>
      <c r="G234">
        <v>6.9000000000000006E-2</v>
      </c>
      <c r="H234">
        <v>13</v>
      </c>
      <c r="I234">
        <v>95.3</v>
      </c>
      <c r="J234">
        <v>0.85</v>
      </c>
      <c r="K234">
        <v>0</v>
      </c>
      <c r="L234">
        <v>4.3</v>
      </c>
      <c r="M234">
        <v>658072.14</v>
      </c>
      <c r="N234">
        <v>110595.89</v>
      </c>
    </row>
    <row r="235" spans="1:14">
      <c r="A235" t="s">
        <v>80</v>
      </c>
      <c r="B235" s="3">
        <v>45689</v>
      </c>
      <c r="C235" t="s">
        <v>27</v>
      </c>
      <c r="D235" t="s">
        <v>16</v>
      </c>
      <c r="E235">
        <v>61650.79</v>
      </c>
      <c r="F235">
        <v>5321</v>
      </c>
      <c r="G235">
        <v>0.126</v>
      </c>
      <c r="H235">
        <v>17</v>
      </c>
      <c r="I235">
        <v>89.2</v>
      </c>
      <c r="J235">
        <v>2.13</v>
      </c>
      <c r="K235">
        <v>0</v>
      </c>
      <c r="L235">
        <v>4</v>
      </c>
      <c r="M235">
        <v>723305.11</v>
      </c>
      <c r="N235">
        <v>128468.7</v>
      </c>
    </row>
    <row r="236" spans="1:14">
      <c r="A236" t="s">
        <v>80</v>
      </c>
      <c r="B236" s="3">
        <v>45717</v>
      </c>
      <c r="C236" t="s">
        <v>27</v>
      </c>
      <c r="D236" t="s">
        <v>16</v>
      </c>
      <c r="E236">
        <v>62582.71</v>
      </c>
      <c r="F236">
        <v>5479</v>
      </c>
      <c r="G236">
        <v>4.8000000000000001E-2</v>
      </c>
      <c r="H236">
        <v>16</v>
      </c>
      <c r="I236">
        <v>81.2</v>
      </c>
      <c r="J236">
        <v>1.46</v>
      </c>
      <c r="K236">
        <v>0</v>
      </c>
      <c r="L236">
        <v>4.5</v>
      </c>
      <c r="M236">
        <v>640666.53</v>
      </c>
      <c r="N236">
        <v>134919.16</v>
      </c>
    </row>
    <row r="237" spans="1:14">
      <c r="A237" t="s">
        <v>80</v>
      </c>
      <c r="B237" s="3">
        <v>45748</v>
      </c>
      <c r="C237" t="s">
        <v>27</v>
      </c>
      <c r="D237" t="s">
        <v>16</v>
      </c>
      <c r="E237">
        <v>47944.14</v>
      </c>
      <c r="F237">
        <v>6169</v>
      </c>
      <c r="G237">
        <v>0.11899999999999999</v>
      </c>
      <c r="H237">
        <v>17</v>
      </c>
      <c r="I237">
        <v>92.2</v>
      </c>
      <c r="J237">
        <v>3.02</v>
      </c>
      <c r="K237">
        <v>0</v>
      </c>
      <c r="L237">
        <v>4.0999999999999996</v>
      </c>
      <c r="M237">
        <v>670629.48</v>
      </c>
      <c r="N237">
        <v>100140.8</v>
      </c>
    </row>
    <row r="238" spans="1:14">
      <c r="A238" t="s">
        <v>81</v>
      </c>
      <c r="B238" s="3">
        <v>45658</v>
      </c>
      <c r="C238" t="s">
        <v>27</v>
      </c>
      <c r="D238" t="s">
        <v>28</v>
      </c>
      <c r="E238">
        <v>46495.4</v>
      </c>
      <c r="F238">
        <v>9908</v>
      </c>
      <c r="G238">
        <v>0.121</v>
      </c>
      <c r="H238">
        <v>22</v>
      </c>
      <c r="I238">
        <v>89.4</v>
      </c>
      <c r="J238">
        <v>3.22</v>
      </c>
      <c r="K238">
        <v>0</v>
      </c>
      <c r="L238">
        <v>3.7</v>
      </c>
      <c r="M238">
        <v>721079.35</v>
      </c>
      <c r="N238">
        <v>115295.05</v>
      </c>
    </row>
    <row r="239" spans="1:14">
      <c r="A239" t="s">
        <v>81</v>
      </c>
      <c r="B239" s="3">
        <v>45689</v>
      </c>
      <c r="C239" t="s">
        <v>27</v>
      </c>
      <c r="D239" t="s">
        <v>28</v>
      </c>
      <c r="E239">
        <v>72961.95</v>
      </c>
      <c r="F239">
        <v>9996</v>
      </c>
      <c r="G239">
        <v>0.106</v>
      </c>
      <c r="H239">
        <v>22</v>
      </c>
      <c r="I239">
        <v>89.1</v>
      </c>
      <c r="J239">
        <v>15.66</v>
      </c>
      <c r="K239">
        <v>0</v>
      </c>
      <c r="L239">
        <v>3.4</v>
      </c>
      <c r="M239">
        <v>810355.02</v>
      </c>
      <c r="N239">
        <v>131510</v>
      </c>
    </row>
    <row r="240" spans="1:14">
      <c r="A240" t="s">
        <v>81</v>
      </c>
      <c r="B240" s="3">
        <v>45717</v>
      </c>
      <c r="C240" t="s">
        <v>27</v>
      </c>
      <c r="D240" t="s">
        <v>28</v>
      </c>
      <c r="E240">
        <v>59060.05</v>
      </c>
      <c r="F240">
        <v>9702</v>
      </c>
      <c r="G240">
        <v>0.20100000000000001</v>
      </c>
      <c r="H240">
        <v>23</v>
      </c>
      <c r="I240">
        <v>80.900000000000006</v>
      </c>
      <c r="J240">
        <v>6.96</v>
      </c>
      <c r="K240">
        <v>0</v>
      </c>
      <c r="L240">
        <v>3.2</v>
      </c>
      <c r="M240">
        <v>761919.25</v>
      </c>
      <c r="N240">
        <v>111893.06</v>
      </c>
    </row>
    <row r="241" spans="1:14">
      <c r="A241" t="s">
        <v>81</v>
      </c>
      <c r="B241" s="3">
        <v>45748</v>
      </c>
      <c r="C241" t="s">
        <v>27</v>
      </c>
      <c r="D241" t="s">
        <v>28</v>
      </c>
      <c r="E241">
        <v>26248.1</v>
      </c>
      <c r="F241">
        <v>9314</v>
      </c>
      <c r="G241">
        <v>0.186</v>
      </c>
      <c r="H241">
        <v>21</v>
      </c>
      <c r="I241">
        <v>83.7</v>
      </c>
      <c r="J241">
        <v>4.62</v>
      </c>
      <c r="K241">
        <v>0</v>
      </c>
      <c r="L241">
        <v>3.3</v>
      </c>
      <c r="M241">
        <v>737070.18</v>
      </c>
      <c r="N241">
        <v>117593.97</v>
      </c>
    </row>
    <row r="242" spans="1:14">
      <c r="A242" t="s">
        <v>82</v>
      </c>
      <c r="B242" s="3">
        <v>45658</v>
      </c>
      <c r="C242" t="s">
        <v>24</v>
      </c>
      <c r="D242" t="s">
        <v>21</v>
      </c>
      <c r="E242">
        <v>69900.12</v>
      </c>
      <c r="F242">
        <v>8055</v>
      </c>
      <c r="G242">
        <v>0.28100000000000003</v>
      </c>
      <c r="H242">
        <v>22</v>
      </c>
      <c r="I242">
        <v>85.6</v>
      </c>
      <c r="J242">
        <v>10.68</v>
      </c>
      <c r="K242">
        <v>1</v>
      </c>
      <c r="L242">
        <v>2.9</v>
      </c>
      <c r="M242">
        <v>776992.93</v>
      </c>
      <c r="N242">
        <v>101598.32</v>
      </c>
    </row>
    <row r="243" spans="1:14">
      <c r="A243" t="s">
        <v>82</v>
      </c>
      <c r="B243" s="3">
        <v>45689</v>
      </c>
      <c r="C243" t="s">
        <v>24</v>
      </c>
      <c r="D243" t="s">
        <v>21</v>
      </c>
      <c r="E243">
        <v>51781.599999999999</v>
      </c>
      <c r="F243">
        <v>5648</v>
      </c>
      <c r="G243">
        <v>5.8999999999999997E-2</v>
      </c>
      <c r="H243">
        <v>13</v>
      </c>
      <c r="I243">
        <v>85.5</v>
      </c>
      <c r="J243">
        <v>4.04</v>
      </c>
      <c r="K243">
        <v>0</v>
      </c>
      <c r="L243">
        <v>3.7</v>
      </c>
      <c r="M243">
        <v>676337.41</v>
      </c>
      <c r="N243">
        <v>104355.77</v>
      </c>
    </row>
    <row r="244" spans="1:14">
      <c r="A244" t="s">
        <v>82</v>
      </c>
      <c r="B244" s="3">
        <v>45717</v>
      </c>
      <c r="C244" t="s">
        <v>24</v>
      </c>
      <c r="D244" t="s">
        <v>21</v>
      </c>
      <c r="E244">
        <v>70799.64</v>
      </c>
      <c r="F244">
        <v>10076</v>
      </c>
      <c r="G244">
        <v>0.152</v>
      </c>
      <c r="H244">
        <v>24</v>
      </c>
      <c r="I244">
        <v>84.8</v>
      </c>
      <c r="J244">
        <v>1.87</v>
      </c>
      <c r="K244">
        <v>0</v>
      </c>
      <c r="L244">
        <v>3.5</v>
      </c>
      <c r="M244">
        <v>828219.67</v>
      </c>
      <c r="N244">
        <v>179806.87</v>
      </c>
    </row>
    <row r="245" spans="1:14">
      <c r="A245" t="s">
        <v>82</v>
      </c>
      <c r="B245" s="3">
        <v>45748</v>
      </c>
      <c r="C245" t="s">
        <v>24</v>
      </c>
      <c r="D245" t="s">
        <v>21</v>
      </c>
      <c r="E245">
        <v>53546.34</v>
      </c>
      <c r="F245">
        <v>8004</v>
      </c>
      <c r="G245">
        <v>0</v>
      </c>
      <c r="H245">
        <v>21</v>
      </c>
      <c r="I245">
        <v>95.2</v>
      </c>
      <c r="J245">
        <v>2.83</v>
      </c>
      <c r="K245">
        <v>0</v>
      </c>
      <c r="L245">
        <v>3</v>
      </c>
      <c r="M245">
        <v>763159.92</v>
      </c>
      <c r="N245">
        <v>177104.87</v>
      </c>
    </row>
    <row r="246" spans="1:14">
      <c r="A246" t="s">
        <v>83</v>
      </c>
      <c r="B246" s="3">
        <v>45658</v>
      </c>
      <c r="C246" t="s">
        <v>15</v>
      </c>
      <c r="D246" t="s">
        <v>18</v>
      </c>
      <c r="E246">
        <v>76942.2</v>
      </c>
      <c r="F246">
        <v>8934</v>
      </c>
      <c r="G246">
        <v>8.4000000000000005E-2</v>
      </c>
      <c r="H246">
        <v>20</v>
      </c>
      <c r="I246">
        <v>91</v>
      </c>
      <c r="J246">
        <v>0.95</v>
      </c>
      <c r="K246">
        <v>0</v>
      </c>
      <c r="L246">
        <v>3.2</v>
      </c>
      <c r="M246">
        <v>802001.68</v>
      </c>
      <c r="N246">
        <v>159715.82</v>
      </c>
    </row>
    <row r="247" spans="1:14">
      <c r="A247" t="s">
        <v>83</v>
      </c>
      <c r="B247" s="3">
        <v>45689</v>
      </c>
      <c r="C247" t="s">
        <v>15</v>
      </c>
      <c r="D247" t="s">
        <v>18</v>
      </c>
      <c r="E247">
        <v>48060.78</v>
      </c>
      <c r="F247">
        <v>8733</v>
      </c>
      <c r="G247">
        <v>0</v>
      </c>
      <c r="H247">
        <v>20</v>
      </c>
      <c r="I247">
        <v>89.9</v>
      </c>
      <c r="J247">
        <v>0.8</v>
      </c>
      <c r="K247">
        <v>0</v>
      </c>
      <c r="L247">
        <v>3.4</v>
      </c>
      <c r="M247">
        <v>750471.34</v>
      </c>
      <c r="N247">
        <v>133788.04</v>
      </c>
    </row>
    <row r="248" spans="1:14">
      <c r="A248" t="s">
        <v>83</v>
      </c>
      <c r="B248" s="3">
        <v>45717</v>
      </c>
      <c r="C248" t="s">
        <v>15</v>
      </c>
      <c r="D248" t="s">
        <v>18</v>
      </c>
      <c r="E248">
        <v>57390.04</v>
      </c>
      <c r="F248">
        <v>7374</v>
      </c>
      <c r="G248">
        <v>0.21</v>
      </c>
      <c r="H248">
        <v>21</v>
      </c>
      <c r="I248">
        <v>91.8</v>
      </c>
      <c r="J248">
        <v>0.2</v>
      </c>
      <c r="K248">
        <v>0</v>
      </c>
      <c r="L248">
        <v>3.1</v>
      </c>
      <c r="M248">
        <v>679230.86</v>
      </c>
      <c r="N248">
        <v>106927.58</v>
      </c>
    </row>
    <row r="249" spans="1:14">
      <c r="A249" t="s">
        <v>83</v>
      </c>
      <c r="B249" s="3">
        <v>45748</v>
      </c>
      <c r="C249" t="s">
        <v>15</v>
      </c>
      <c r="D249" t="s">
        <v>18</v>
      </c>
      <c r="E249">
        <v>21536.18</v>
      </c>
      <c r="F249">
        <v>8119</v>
      </c>
      <c r="G249">
        <v>0.22700000000000001</v>
      </c>
      <c r="H249">
        <v>20</v>
      </c>
      <c r="I249">
        <v>90.4</v>
      </c>
      <c r="J249">
        <v>1.7</v>
      </c>
      <c r="K249">
        <v>0</v>
      </c>
      <c r="L249">
        <v>3.3</v>
      </c>
      <c r="M249">
        <v>679888.74</v>
      </c>
      <c r="N249">
        <v>83406.89</v>
      </c>
    </row>
    <row r="250" spans="1:14">
      <c r="A250" t="s">
        <v>84</v>
      </c>
      <c r="B250" s="3">
        <v>45658</v>
      </c>
      <c r="C250" t="s">
        <v>20</v>
      </c>
      <c r="D250" t="s">
        <v>18</v>
      </c>
      <c r="E250">
        <v>40923.67</v>
      </c>
      <c r="F250">
        <v>3875</v>
      </c>
      <c r="G250">
        <v>0.15</v>
      </c>
      <c r="H250">
        <v>10</v>
      </c>
      <c r="I250">
        <v>96.1</v>
      </c>
      <c r="J250" s="6">
        <v>4.5599999999999996</v>
      </c>
      <c r="K250">
        <v>0</v>
      </c>
      <c r="L250">
        <v>3.8</v>
      </c>
      <c r="M250">
        <v>606783.67000000004</v>
      </c>
      <c r="N250">
        <v>74515.87</v>
      </c>
    </row>
    <row r="251" spans="1:14">
      <c r="A251" t="s">
        <v>84</v>
      </c>
      <c r="B251" s="3">
        <v>45689</v>
      </c>
      <c r="C251" t="s">
        <v>20</v>
      </c>
      <c r="D251" t="s">
        <v>18</v>
      </c>
      <c r="E251">
        <v>72932.55</v>
      </c>
      <c r="F251">
        <v>5765</v>
      </c>
      <c r="G251">
        <v>2.5999999999999999E-2</v>
      </c>
      <c r="H251">
        <v>17</v>
      </c>
      <c r="I251">
        <v>81.8</v>
      </c>
      <c r="J251">
        <v>5.0999999999999996</v>
      </c>
      <c r="K251">
        <v>0</v>
      </c>
      <c r="L251">
        <v>3.6</v>
      </c>
      <c r="M251">
        <v>642751.42000000004</v>
      </c>
      <c r="N251">
        <v>131942.15</v>
      </c>
    </row>
    <row r="252" spans="1:14">
      <c r="A252" t="s">
        <v>84</v>
      </c>
      <c r="B252" s="3">
        <v>45717</v>
      </c>
      <c r="C252" t="s">
        <v>20</v>
      </c>
      <c r="D252" t="s">
        <v>18</v>
      </c>
      <c r="E252">
        <v>38361.93</v>
      </c>
      <c r="F252">
        <v>6322</v>
      </c>
      <c r="G252">
        <v>0.27300000000000002</v>
      </c>
      <c r="H252">
        <v>15</v>
      </c>
      <c r="I252">
        <v>88.4</v>
      </c>
      <c r="J252">
        <v>0.83</v>
      </c>
      <c r="K252">
        <v>0</v>
      </c>
      <c r="L252">
        <v>4</v>
      </c>
      <c r="M252">
        <v>647953.78</v>
      </c>
      <c r="N252">
        <v>118497.43</v>
      </c>
    </row>
    <row r="253" spans="1:14">
      <c r="A253" t="s">
        <v>84</v>
      </c>
      <c r="B253" s="3">
        <v>45748</v>
      </c>
      <c r="C253" t="s">
        <v>20</v>
      </c>
      <c r="D253" t="s">
        <v>18</v>
      </c>
      <c r="E253">
        <v>97480.94</v>
      </c>
      <c r="F253">
        <v>6840</v>
      </c>
      <c r="G253">
        <v>8.6999999999999994E-2</v>
      </c>
      <c r="H253">
        <v>14</v>
      </c>
      <c r="I253">
        <v>79.2</v>
      </c>
      <c r="J253">
        <v>1.1399999999999999</v>
      </c>
      <c r="K253">
        <v>0</v>
      </c>
      <c r="L253">
        <v>4</v>
      </c>
      <c r="M253">
        <v>729440.45</v>
      </c>
      <c r="N253">
        <v>87614.29</v>
      </c>
    </row>
    <row r="254" spans="1:14">
      <c r="A254" t="s">
        <v>85</v>
      </c>
      <c r="B254" s="3">
        <v>45658</v>
      </c>
      <c r="C254" t="s">
        <v>24</v>
      </c>
      <c r="D254" t="s">
        <v>21</v>
      </c>
      <c r="E254">
        <v>81801.8</v>
      </c>
      <c r="F254">
        <v>6782</v>
      </c>
      <c r="G254">
        <v>0.05</v>
      </c>
      <c r="H254">
        <v>16</v>
      </c>
      <c r="I254">
        <v>99</v>
      </c>
      <c r="J254">
        <v>9.5399999999999991</v>
      </c>
      <c r="K254">
        <v>0</v>
      </c>
      <c r="L254">
        <v>3.7</v>
      </c>
      <c r="M254">
        <v>764949</v>
      </c>
      <c r="N254">
        <v>148322.43</v>
      </c>
    </row>
    <row r="255" spans="1:14">
      <c r="A255" t="s">
        <v>85</v>
      </c>
      <c r="B255" s="3">
        <v>45689</v>
      </c>
      <c r="C255" t="s">
        <v>24</v>
      </c>
      <c r="D255" t="s">
        <v>21</v>
      </c>
      <c r="E255">
        <v>63582.11</v>
      </c>
      <c r="F255">
        <v>6856</v>
      </c>
      <c r="G255">
        <v>7.3999999999999996E-2</v>
      </c>
      <c r="H255">
        <v>17</v>
      </c>
      <c r="I255">
        <v>89.5</v>
      </c>
      <c r="J255">
        <v>5.48</v>
      </c>
      <c r="K255">
        <v>0</v>
      </c>
      <c r="L255">
        <v>3.2</v>
      </c>
      <c r="M255">
        <v>799046.94</v>
      </c>
      <c r="N255">
        <v>144553.64000000001</v>
      </c>
    </row>
    <row r="256" spans="1:14">
      <c r="A256" t="s">
        <v>85</v>
      </c>
      <c r="B256" s="3">
        <v>45717</v>
      </c>
      <c r="C256" t="s">
        <v>24</v>
      </c>
      <c r="D256" t="s">
        <v>21</v>
      </c>
      <c r="E256">
        <v>75412.740000000005</v>
      </c>
      <c r="F256">
        <v>5641</v>
      </c>
      <c r="G256">
        <v>5.8999999999999997E-2</v>
      </c>
      <c r="H256">
        <v>13</v>
      </c>
      <c r="I256">
        <v>87.9</v>
      </c>
      <c r="J256">
        <v>0.84</v>
      </c>
      <c r="K256">
        <v>0</v>
      </c>
      <c r="L256">
        <v>3.6</v>
      </c>
      <c r="M256">
        <v>720079.54</v>
      </c>
      <c r="N256">
        <v>119499.47</v>
      </c>
    </row>
    <row r="257" spans="1:14">
      <c r="A257" t="s">
        <v>85</v>
      </c>
      <c r="B257" s="3">
        <v>45748</v>
      </c>
      <c r="C257" t="s">
        <v>24</v>
      </c>
      <c r="D257" t="s">
        <v>21</v>
      </c>
      <c r="E257">
        <v>36290.080000000002</v>
      </c>
      <c r="F257">
        <v>5787</v>
      </c>
      <c r="G257">
        <v>0</v>
      </c>
      <c r="H257">
        <v>17</v>
      </c>
      <c r="I257">
        <v>88.3</v>
      </c>
      <c r="J257">
        <v>4.1900000000000004</v>
      </c>
      <c r="K257">
        <v>0</v>
      </c>
      <c r="L257">
        <v>4.0999999999999996</v>
      </c>
      <c r="M257">
        <v>612390.14</v>
      </c>
      <c r="N257">
        <v>108985.74</v>
      </c>
    </row>
    <row r="258" spans="1:14">
      <c r="A258" t="s">
        <v>86</v>
      </c>
      <c r="B258" s="3">
        <v>45658</v>
      </c>
      <c r="C258" t="s">
        <v>24</v>
      </c>
      <c r="D258" t="s">
        <v>28</v>
      </c>
      <c r="E258">
        <v>65272.58</v>
      </c>
      <c r="F258">
        <v>8165</v>
      </c>
      <c r="G258">
        <v>5.0999999999999997E-2</v>
      </c>
      <c r="H258">
        <v>19</v>
      </c>
      <c r="I258">
        <v>87.8</v>
      </c>
      <c r="J258">
        <v>1.26</v>
      </c>
      <c r="K258">
        <v>1</v>
      </c>
      <c r="L258">
        <v>4.3</v>
      </c>
      <c r="M258">
        <v>840108.12</v>
      </c>
      <c r="N258">
        <v>126587.01</v>
      </c>
    </row>
    <row r="259" spans="1:14">
      <c r="A259" t="s">
        <v>86</v>
      </c>
      <c r="B259" s="3">
        <v>45689</v>
      </c>
      <c r="C259" t="s">
        <v>24</v>
      </c>
      <c r="D259" t="s">
        <v>28</v>
      </c>
      <c r="E259">
        <v>28670.43</v>
      </c>
      <c r="F259">
        <v>7574</v>
      </c>
      <c r="G259">
        <v>0.114</v>
      </c>
      <c r="H259">
        <v>19</v>
      </c>
      <c r="I259">
        <v>82.7</v>
      </c>
      <c r="J259">
        <v>2.74</v>
      </c>
      <c r="K259">
        <v>0</v>
      </c>
      <c r="L259">
        <v>4.5999999999999996</v>
      </c>
      <c r="M259">
        <v>697888.09</v>
      </c>
      <c r="N259">
        <v>116249.87</v>
      </c>
    </row>
    <row r="260" spans="1:14">
      <c r="A260" t="s">
        <v>86</v>
      </c>
      <c r="B260" s="3">
        <v>45717</v>
      </c>
      <c r="C260" t="s">
        <v>24</v>
      </c>
      <c r="D260" t="s">
        <v>28</v>
      </c>
      <c r="E260">
        <v>44189.34</v>
      </c>
      <c r="F260">
        <v>8634</v>
      </c>
      <c r="G260">
        <v>0.14299999999999999</v>
      </c>
      <c r="H260">
        <v>19</v>
      </c>
      <c r="I260">
        <v>87.5</v>
      </c>
      <c r="J260">
        <v>3.69</v>
      </c>
      <c r="K260">
        <v>0</v>
      </c>
      <c r="L260">
        <v>4.4000000000000004</v>
      </c>
      <c r="M260">
        <v>746115.59</v>
      </c>
      <c r="N260">
        <v>94662.96</v>
      </c>
    </row>
    <row r="261" spans="1:14">
      <c r="A261" t="s">
        <v>86</v>
      </c>
      <c r="B261" s="3">
        <v>45748</v>
      </c>
      <c r="C261" t="s">
        <v>24</v>
      </c>
      <c r="D261" t="s">
        <v>28</v>
      </c>
      <c r="E261">
        <v>38397.82</v>
      </c>
      <c r="F261">
        <v>7836</v>
      </c>
      <c r="G261">
        <v>7.0000000000000001E-3</v>
      </c>
      <c r="H261">
        <v>21</v>
      </c>
      <c r="I261">
        <v>92.2</v>
      </c>
      <c r="J261">
        <v>1.82</v>
      </c>
      <c r="K261">
        <v>0</v>
      </c>
      <c r="L261">
        <v>3.6</v>
      </c>
      <c r="M261">
        <v>776110.32</v>
      </c>
      <c r="N261">
        <v>139676.21</v>
      </c>
    </row>
    <row r="262" spans="1:14">
      <c r="A262" t="s">
        <v>87</v>
      </c>
      <c r="B262" s="3">
        <v>45658</v>
      </c>
      <c r="C262" t="s">
        <v>27</v>
      </c>
      <c r="D262" t="s">
        <v>18</v>
      </c>
      <c r="E262">
        <v>14519.37</v>
      </c>
      <c r="F262">
        <v>3047</v>
      </c>
      <c r="G262">
        <v>0.13500000000000001</v>
      </c>
      <c r="H262">
        <v>10</v>
      </c>
      <c r="I262">
        <v>90.3</v>
      </c>
      <c r="J262">
        <v>6.62</v>
      </c>
      <c r="K262">
        <v>0</v>
      </c>
      <c r="L262">
        <v>4.2</v>
      </c>
      <c r="M262">
        <v>528852.62</v>
      </c>
      <c r="N262">
        <v>68426.210000000006</v>
      </c>
    </row>
    <row r="263" spans="1:14">
      <c r="A263" t="s">
        <v>87</v>
      </c>
      <c r="B263" s="3">
        <v>45689</v>
      </c>
      <c r="C263" t="s">
        <v>27</v>
      </c>
      <c r="D263" t="s">
        <v>18</v>
      </c>
      <c r="E263">
        <v>43288.2</v>
      </c>
      <c r="F263">
        <v>4783</v>
      </c>
      <c r="G263">
        <v>0.16900000000000001</v>
      </c>
      <c r="H263">
        <v>13</v>
      </c>
      <c r="I263">
        <v>87.3</v>
      </c>
      <c r="J263" s="6">
        <v>4.5599999999999996</v>
      </c>
      <c r="K263">
        <v>0</v>
      </c>
      <c r="L263">
        <v>4.2</v>
      </c>
      <c r="M263">
        <v>605751.32999999996</v>
      </c>
      <c r="N263">
        <v>60685.53</v>
      </c>
    </row>
    <row r="264" spans="1:14">
      <c r="A264" t="s">
        <v>87</v>
      </c>
      <c r="B264" s="3">
        <v>45717</v>
      </c>
      <c r="C264" t="s">
        <v>27</v>
      </c>
      <c r="D264" t="s">
        <v>18</v>
      </c>
      <c r="E264">
        <v>51450.55</v>
      </c>
      <c r="F264">
        <v>4902</v>
      </c>
      <c r="G264">
        <v>8.5999999999999993E-2</v>
      </c>
      <c r="H264">
        <v>11</v>
      </c>
      <c r="I264">
        <v>83.7</v>
      </c>
      <c r="J264">
        <v>6.92</v>
      </c>
      <c r="K264">
        <v>1</v>
      </c>
      <c r="L264">
        <v>4.2</v>
      </c>
      <c r="M264">
        <v>677640.65</v>
      </c>
      <c r="N264">
        <v>111610.89</v>
      </c>
    </row>
    <row r="265" spans="1:14">
      <c r="A265" t="s">
        <v>87</v>
      </c>
      <c r="B265" s="3">
        <v>45748</v>
      </c>
      <c r="C265" t="s">
        <v>27</v>
      </c>
      <c r="D265" t="s">
        <v>18</v>
      </c>
      <c r="E265">
        <v>58688.26</v>
      </c>
      <c r="F265">
        <v>4022</v>
      </c>
      <c r="G265">
        <v>0.217</v>
      </c>
      <c r="H265">
        <v>12</v>
      </c>
      <c r="I265">
        <v>93.8</v>
      </c>
      <c r="J265">
        <v>11.78</v>
      </c>
      <c r="K265">
        <v>0</v>
      </c>
      <c r="L265">
        <v>3.7</v>
      </c>
      <c r="M265">
        <v>636613.23</v>
      </c>
      <c r="N265">
        <v>78908.350000000006</v>
      </c>
    </row>
    <row r="266" spans="1:14">
      <c r="A266" t="s">
        <v>88</v>
      </c>
      <c r="B266" s="3">
        <v>45658</v>
      </c>
      <c r="C266" t="s">
        <v>15</v>
      </c>
      <c r="D266" t="s">
        <v>18</v>
      </c>
      <c r="E266">
        <v>58981.91</v>
      </c>
      <c r="F266">
        <v>7324</v>
      </c>
      <c r="G266">
        <v>9.4E-2</v>
      </c>
      <c r="H266">
        <v>15</v>
      </c>
      <c r="I266">
        <v>95.8</v>
      </c>
      <c r="J266">
        <v>0.5</v>
      </c>
      <c r="K266">
        <v>0</v>
      </c>
      <c r="L266">
        <v>3.5</v>
      </c>
      <c r="M266">
        <v>708985.19</v>
      </c>
      <c r="N266">
        <v>125368.16</v>
      </c>
    </row>
    <row r="267" spans="1:14">
      <c r="A267" t="s">
        <v>88</v>
      </c>
      <c r="B267" s="3">
        <v>45689</v>
      </c>
      <c r="C267" t="s">
        <v>15</v>
      </c>
      <c r="D267" t="s">
        <v>18</v>
      </c>
      <c r="E267">
        <v>73454.539999999994</v>
      </c>
      <c r="F267">
        <v>8129</v>
      </c>
      <c r="G267">
        <v>0.21099999999999999</v>
      </c>
      <c r="H267">
        <v>20</v>
      </c>
      <c r="I267">
        <v>85.2</v>
      </c>
      <c r="J267">
        <v>0.88</v>
      </c>
      <c r="K267">
        <v>0</v>
      </c>
      <c r="L267">
        <v>3.7</v>
      </c>
      <c r="M267">
        <v>767792.94</v>
      </c>
      <c r="N267">
        <v>96235.77</v>
      </c>
    </row>
    <row r="268" spans="1:14">
      <c r="A268" t="s">
        <v>88</v>
      </c>
      <c r="B268" s="3">
        <v>45717</v>
      </c>
      <c r="C268" t="s">
        <v>15</v>
      </c>
      <c r="D268" t="s">
        <v>18</v>
      </c>
      <c r="E268">
        <v>56602.39</v>
      </c>
      <c r="F268">
        <v>7969</v>
      </c>
      <c r="G268">
        <v>0.17</v>
      </c>
      <c r="H268">
        <v>21</v>
      </c>
      <c r="I268">
        <v>88.3</v>
      </c>
      <c r="J268">
        <v>2.25</v>
      </c>
      <c r="K268">
        <v>0</v>
      </c>
      <c r="L268">
        <v>3.7</v>
      </c>
      <c r="M268">
        <v>745580.51</v>
      </c>
      <c r="N268">
        <v>116273.68</v>
      </c>
    </row>
    <row r="269" spans="1:14">
      <c r="A269" t="s">
        <v>88</v>
      </c>
      <c r="B269" s="3">
        <v>45748</v>
      </c>
      <c r="C269" t="s">
        <v>15</v>
      </c>
      <c r="D269" t="s">
        <v>18</v>
      </c>
      <c r="E269">
        <v>67722.289999999994</v>
      </c>
      <c r="F269">
        <v>7240</v>
      </c>
      <c r="G269">
        <v>2.5999999999999999E-2</v>
      </c>
      <c r="H269">
        <v>15</v>
      </c>
      <c r="I269">
        <v>92.9</v>
      </c>
      <c r="J269">
        <v>0.28999999999999998</v>
      </c>
      <c r="K269">
        <v>0</v>
      </c>
      <c r="L269">
        <v>3.5</v>
      </c>
      <c r="M269">
        <v>762328.31</v>
      </c>
      <c r="N269">
        <v>159158.19</v>
      </c>
    </row>
    <row r="270" spans="1:14">
      <c r="A270" t="s">
        <v>89</v>
      </c>
      <c r="B270" s="3">
        <v>45658</v>
      </c>
      <c r="C270" t="s">
        <v>15</v>
      </c>
      <c r="D270" t="s">
        <v>28</v>
      </c>
      <c r="E270">
        <v>48752.92</v>
      </c>
      <c r="F270">
        <v>8052</v>
      </c>
      <c r="G270">
        <v>0.106</v>
      </c>
      <c r="H270">
        <v>16</v>
      </c>
      <c r="I270">
        <v>94.9</v>
      </c>
      <c r="J270">
        <v>0.65</v>
      </c>
      <c r="K270">
        <v>0</v>
      </c>
      <c r="L270">
        <v>3.6</v>
      </c>
      <c r="M270">
        <v>660633.99</v>
      </c>
      <c r="N270">
        <v>118768.66</v>
      </c>
    </row>
    <row r="271" spans="1:14">
      <c r="A271" t="s">
        <v>89</v>
      </c>
      <c r="B271" s="3">
        <v>45689</v>
      </c>
      <c r="C271" t="s">
        <v>15</v>
      </c>
      <c r="D271" t="s">
        <v>28</v>
      </c>
      <c r="E271">
        <v>23914.97</v>
      </c>
      <c r="F271">
        <v>8018</v>
      </c>
      <c r="G271">
        <v>0.13900000000000001</v>
      </c>
      <c r="H271">
        <v>20</v>
      </c>
      <c r="I271">
        <v>89</v>
      </c>
      <c r="J271">
        <v>0.2</v>
      </c>
      <c r="K271">
        <v>0</v>
      </c>
      <c r="L271">
        <v>3.5</v>
      </c>
      <c r="M271">
        <v>739374.56</v>
      </c>
      <c r="N271">
        <v>121032.29</v>
      </c>
    </row>
    <row r="272" spans="1:14">
      <c r="A272" t="s">
        <v>89</v>
      </c>
      <c r="B272" s="3">
        <v>45717</v>
      </c>
      <c r="C272" t="s">
        <v>15</v>
      </c>
      <c r="D272" t="s">
        <v>28</v>
      </c>
      <c r="E272">
        <v>61995.3</v>
      </c>
      <c r="F272">
        <v>10192</v>
      </c>
      <c r="G272">
        <v>0.19800000000000001</v>
      </c>
      <c r="H272">
        <v>21</v>
      </c>
      <c r="I272">
        <v>87.6</v>
      </c>
      <c r="J272">
        <v>3.63</v>
      </c>
      <c r="K272">
        <v>1</v>
      </c>
      <c r="L272">
        <v>3.8</v>
      </c>
      <c r="M272">
        <v>799756.46</v>
      </c>
      <c r="N272">
        <v>105052.93</v>
      </c>
    </row>
    <row r="273" spans="1:14">
      <c r="A273" t="s">
        <v>89</v>
      </c>
      <c r="B273" s="3">
        <v>45748</v>
      </c>
      <c r="C273" t="s">
        <v>15</v>
      </c>
      <c r="D273" t="s">
        <v>28</v>
      </c>
      <c r="E273">
        <v>29344.93</v>
      </c>
      <c r="F273">
        <v>7446</v>
      </c>
      <c r="G273">
        <v>0.111</v>
      </c>
      <c r="H273">
        <v>15</v>
      </c>
      <c r="I273">
        <v>86.2</v>
      </c>
      <c r="J273">
        <v>0.2</v>
      </c>
      <c r="K273">
        <v>0</v>
      </c>
      <c r="L273">
        <v>3.2</v>
      </c>
      <c r="M273">
        <v>593343</v>
      </c>
      <c r="N273">
        <v>82832.240000000005</v>
      </c>
    </row>
    <row r="274" spans="1:14">
      <c r="A274" t="s">
        <v>90</v>
      </c>
      <c r="B274" s="3">
        <v>45658</v>
      </c>
      <c r="C274" t="s">
        <v>27</v>
      </c>
      <c r="D274" t="s">
        <v>18</v>
      </c>
      <c r="E274">
        <v>50532.17</v>
      </c>
      <c r="F274">
        <v>5689</v>
      </c>
      <c r="G274">
        <v>5.1999999999999998E-2</v>
      </c>
      <c r="H274">
        <v>17</v>
      </c>
      <c r="I274">
        <v>85.6</v>
      </c>
      <c r="J274">
        <v>6.23</v>
      </c>
      <c r="K274">
        <v>0</v>
      </c>
      <c r="L274">
        <v>3.3</v>
      </c>
      <c r="M274">
        <v>645039.97</v>
      </c>
      <c r="N274">
        <v>83093.33</v>
      </c>
    </row>
    <row r="275" spans="1:14">
      <c r="A275" t="s">
        <v>90</v>
      </c>
      <c r="B275" s="3">
        <v>45689</v>
      </c>
      <c r="C275" t="s">
        <v>27</v>
      </c>
      <c r="D275" t="s">
        <v>18</v>
      </c>
      <c r="E275">
        <v>17562.57</v>
      </c>
      <c r="F275">
        <v>3326</v>
      </c>
      <c r="G275">
        <v>0.153</v>
      </c>
      <c r="H275">
        <v>14</v>
      </c>
      <c r="I275">
        <v>88.1</v>
      </c>
      <c r="J275">
        <v>1.04</v>
      </c>
      <c r="K275">
        <v>0</v>
      </c>
      <c r="L275">
        <v>3.1</v>
      </c>
      <c r="M275">
        <v>561597.32999999996</v>
      </c>
      <c r="N275">
        <v>75072.75</v>
      </c>
    </row>
    <row r="276" spans="1:14">
      <c r="A276" t="s">
        <v>90</v>
      </c>
      <c r="B276" s="3">
        <v>45717</v>
      </c>
      <c r="C276" t="s">
        <v>27</v>
      </c>
      <c r="D276" t="s">
        <v>18</v>
      </c>
      <c r="E276">
        <v>47648.71</v>
      </c>
      <c r="F276">
        <v>5767</v>
      </c>
      <c r="G276">
        <v>0.14099999999999999</v>
      </c>
      <c r="H276">
        <v>17</v>
      </c>
      <c r="I276">
        <v>89.8</v>
      </c>
      <c r="J276">
        <v>1.76</v>
      </c>
      <c r="K276">
        <v>0</v>
      </c>
      <c r="L276">
        <v>3.1</v>
      </c>
      <c r="M276">
        <v>635837.74</v>
      </c>
      <c r="N276">
        <v>114740.64</v>
      </c>
    </row>
    <row r="277" spans="1:14">
      <c r="A277" t="s">
        <v>90</v>
      </c>
      <c r="B277" s="3">
        <v>45748</v>
      </c>
      <c r="C277" t="s">
        <v>27</v>
      </c>
      <c r="D277" t="s">
        <v>18</v>
      </c>
      <c r="E277">
        <v>38297.58</v>
      </c>
      <c r="F277">
        <v>5893</v>
      </c>
      <c r="G277">
        <v>0.247</v>
      </c>
      <c r="H277">
        <v>18</v>
      </c>
      <c r="I277">
        <v>77.599999999999994</v>
      </c>
      <c r="J277">
        <v>2.86</v>
      </c>
      <c r="K277">
        <v>0</v>
      </c>
      <c r="L277">
        <v>3</v>
      </c>
      <c r="M277">
        <v>686737.87</v>
      </c>
      <c r="N277">
        <v>83839.67</v>
      </c>
    </row>
    <row r="278" spans="1:14">
      <c r="A278" t="s">
        <v>91</v>
      </c>
      <c r="B278" s="3">
        <v>45658</v>
      </c>
      <c r="C278" t="s">
        <v>24</v>
      </c>
      <c r="D278" t="s">
        <v>16</v>
      </c>
      <c r="E278">
        <v>61784.11</v>
      </c>
      <c r="F278">
        <v>8564</v>
      </c>
      <c r="G278">
        <v>0.13</v>
      </c>
      <c r="H278">
        <v>17</v>
      </c>
      <c r="I278">
        <v>87.4</v>
      </c>
      <c r="J278">
        <v>18.14</v>
      </c>
      <c r="K278">
        <v>1</v>
      </c>
      <c r="L278">
        <v>3.4</v>
      </c>
      <c r="M278">
        <v>673076.34</v>
      </c>
      <c r="N278">
        <v>93899.76</v>
      </c>
    </row>
    <row r="279" spans="1:14">
      <c r="A279" t="s">
        <v>91</v>
      </c>
      <c r="B279" s="3">
        <v>45689</v>
      </c>
      <c r="C279" t="s">
        <v>24</v>
      </c>
      <c r="D279" t="s">
        <v>16</v>
      </c>
      <c r="E279">
        <v>36832.33</v>
      </c>
      <c r="F279">
        <v>8001</v>
      </c>
      <c r="G279">
        <v>0</v>
      </c>
      <c r="H279">
        <v>19</v>
      </c>
      <c r="I279">
        <v>88.7</v>
      </c>
      <c r="J279">
        <v>3.39</v>
      </c>
      <c r="K279">
        <v>0</v>
      </c>
      <c r="L279">
        <v>4</v>
      </c>
      <c r="M279">
        <v>738548.42</v>
      </c>
      <c r="N279">
        <v>134282.76999999999</v>
      </c>
    </row>
    <row r="280" spans="1:14">
      <c r="A280" t="s">
        <v>91</v>
      </c>
      <c r="B280" s="3">
        <v>45717</v>
      </c>
      <c r="C280" t="s">
        <v>24</v>
      </c>
      <c r="D280" t="s">
        <v>16</v>
      </c>
      <c r="E280">
        <v>48609.41</v>
      </c>
      <c r="F280">
        <v>9324</v>
      </c>
      <c r="G280">
        <v>0.21299999999999999</v>
      </c>
      <c r="H280">
        <v>18</v>
      </c>
      <c r="I280">
        <v>86.5</v>
      </c>
      <c r="J280">
        <v>1.44</v>
      </c>
      <c r="K280">
        <v>0</v>
      </c>
      <c r="L280">
        <v>3.9</v>
      </c>
      <c r="M280">
        <v>756619.77</v>
      </c>
      <c r="N280">
        <v>112057.69</v>
      </c>
    </row>
    <row r="281" spans="1:14">
      <c r="A281" t="s">
        <v>91</v>
      </c>
      <c r="B281" s="3">
        <v>45748</v>
      </c>
      <c r="C281" t="s">
        <v>24</v>
      </c>
      <c r="D281" t="s">
        <v>16</v>
      </c>
      <c r="E281">
        <v>70284.06</v>
      </c>
      <c r="F281">
        <v>9109</v>
      </c>
      <c r="G281">
        <v>4.0000000000000001E-3</v>
      </c>
      <c r="H281">
        <v>23</v>
      </c>
      <c r="I281">
        <v>87</v>
      </c>
      <c r="J281">
        <v>3.65</v>
      </c>
      <c r="K281">
        <v>0</v>
      </c>
      <c r="L281">
        <v>3.7</v>
      </c>
      <c r="M281">
        <v>761122.42</v>
      </c>
      <c r="N281">
        <v>149802.04</v>
      </c>
    </row>
    <row r="282" spans="1:14">
      <c r="A282" t="s">
        <v>92</v>
      </c>
      <c r="B282" s="3">
        <v>45658</v>
      </c>
      <c r="C282" t="s">
        <v>24</v>
      </c>
      <c r="D282" t="s">
        <v>18</v>
      </c>
      <c r="E282">
        <v>45940.39</v>
      </c>
      <c r="F282">
        <v>4022</v>
      </c>
      <c r="G282">
        <v>6.9000000000000006E-2</v>
      </c>
      <c r="H282">
        <v>10</v>
      </c>
      <c r="I282">
        <v>83</v>
      </c>
      <c r="J282">
        <v>1.23</v>
      </c>
      <c r="K282">
        <v>1</v>
      </c>
      <c r="L282">
        <v>3.8</v>
      </c>
      <c r="M282">
        <v>524899.56999999995</v>
      </c>
      <c r="N282">
        <v>63619.98</v>
      </c>
    </row>
    <row r="283" spans="1:14">
      <c r="A283" t="s">
        <v>92</v>
      </c>
      <c r="B283" s="3">
        <v>45689</v>
      </c>
      <c r="C283" t="s">
        <v>24</v>
      </c>
      <c r="D283" t="s">
        <v>18</v>
      </c>
      <c r="E283">
        <v>34771.26</v>
      </c>
      <c r="F283">
        <v>4355</v>
      </c>
      <c r="G283">
        <v>5.0999999999999997E-2</v>
      </c>
      <c r="H283">
        <v>15</v>
      </c>
      <c r="I283">
        <v>87.9</v>
      </c>
      <c r="J283">
        <v>3.09</v>
      </c>
      <c r="K283">
        <v>0</v>
      </c>
      <c r="L283">
        <v>4</v>
      </c>
      <c r="M283">
        <v>555557.77</v>
      </c>
      <c r="N283">
        <v>86475.51</v>
      </c>
    </row>
    <row r="284" spans="1:14">
      <c r="A284" t="s">
        <v>92</v>
      </c>
      <c r="B284" s="3">
        <v>45717</v>
      </c>
      <c r="C284" t="s">
        <v>24</v>
      </c>
      <c r="D284" t="s">
        <v>18</v>
      </c>
      <c r="E284">
        <v>66104.19</v>
      </c>
      <c r="F284">
        <v>5745</v>
      </c>
      <c r="G284">
        <v>7.0000000000000007E-2</v>
      </c>
      <c r="H284">
        <v>17</v>
      </c>
      <c r="I284">
        <v>95.8</v>
      </c>
      <c r="J284">
        <v>3.15</v>
      </c>
      <c r="K284">
        <v>0</v>
      </c>
      <c r="L284">
        <v>4</v>
      </c>
      <c r="M284">
        <v>714083.68</v>
      </c>
      <c r="N284">
        <v>127231.74</v>
      </c>
    </row>
    <row r="285" spans="1:14">
      <c r="A285" t="s">
        <v>92</v>
      </c>
      <c r="B285" s="3">
        <v>45748</v>
      </c>
      <c r="C285" t="s">
        <v>24</v>
      </c>
      <c r="D285" t="s">
        <v>18</v>
      </c>
      <c r="E285">
        <v>18599.21</v>
      </c>
      <c r="F285">
        <v>3027</v>
      </c>
      <c r="G285">
        <v>0.122</v>
      </c>
      <c r="H285">
        <v>11</v>
      </c>
      <c r="I285">
        <v>80.900000000000006</v>
      </c>
      <c r="J285">
        <v>6.44</v>
      </c>
      <c r="K285">
        <v>0</v>
      </c>
      <c r="L285">
        <v>4.2</v>
      </c>
      <c r="M285">
        <v>497439.82</v>
      </c>
      <c r="N285">
        <v>93372.75</v>
      </c>
    </row>
    <row r="286" spans="1:14">
      <c r="A286" t="s">
        <v>93</v>
      </c>
      <c r="B286" s="3">
        <v>45658</v>
      </c>
      <c r="C286" t="s">
        <v>27</v>
      </c>
      <c r="D286" t="s">
        <v>16</v>
      </c>
      <c r="E286">
        <v>60183.06</v>
      </c>
      <c r="F286">
        <v>5562</v>
      </c>
      <c r="G286">
        <v>8.9999999999999993E-3</v>
      </c>
      <c r="H286">
        <v>13</v>
      </c>
      <c r="I286">
        <v>86.3</v>
      </c>
      <c r="J286">
        <v>0.2</v>
      </c>
      <c r="K286">
        <v>1</v>
      </c>
      <c r="L286">
        <v>4.5</v>
      </c>
      <c r="M286">
        <v>636775.66</v>
      </c>
      <c r="N286">
        <v>122636.86</v>
      </c>
    </row>
    <row r="287" spans="1:14">
      <c r="A287" t="s">
        <v>93</v>
      </c>
      <c r="B287" s="3">
        <v>45689</v>
      </c>
      <c r="C287" t="s">
        <v>27</v>
      </c>
      <c r="D287" t="s">
        <v>16</v>
      </c>
      <c r="E287">
        <v>74539.14</v>
      </c>
      <c r="F287">
        <v>4487</v>
      </c>
      <c r="G287">
        <v>0.14000000000000001</v>
      </c>
      <c r="H287">
        <v>10</v>
      </c>
      <c r="I287">
        <v>90.4</v>
      </c>
      <c r="J287">
        <v>0.59</v>
      </c>
      <c r="K287">
        <v>0</v>
      </c>
      <c r="L287">
        <v>4.5</v>
      </c>
      <c r="M287">
        <v>633009.53</v>
      </c>
      <c r="N287">
        <v>123782.67</v>
      </c>
    </row>
    <row r="288" spans="1:14">
      <c r="A288" t="s">
        <v>93</v>
      </c>
      <c r="B288" s="3">
        <v>45717</v>
      </c>
      <c r="C288" t="s">
        <v>27</v>
      </c>
      <c r="D288" t="s">
        <v>16</v>
      </c>
      <c r="E288">
        <v>55371.97</v>
      </c>
      <c r="F288">
        <v>4162</v>
      </c>
      <c r="G288">
        <v>0.183</v>
      </c>
      <c r="H288">
        <v>11</v>
      </c>
      <c r="I288">
        <v>92</v>
      </c>
      <c r="J288">
        <v>0.2</v>
      </c>
      <c r="K288">
        <v>1</v>
      </c>
      <c r="L288">
        <v>4.2</v>
      </c>
      <c r="M288">
        <v>609949</v>
      </c>
      <c r="N288">
        <v>126789.25</v>
      </c>
    </row>
    <row r="289" spans="1:14">
      <c r="A289" t="s">
        <v>93</v>
      </c>
      <c r="B289" s="3">
        <v>45748</v>
      </c>
      <c r="C289" t="s">
        <v>27</v>
      </c>
      <c r="D289" t="s">
        <v>16</v>
      </c>
      <c r="E289">
        <v>40928.69</v>
      </c>
      <c r="F289">
        <v>4094</v>
      </c>
      <c r="G289">
        <v>0.17399999999999999</v>
      </c>
      <c r="H289">
        <v>13</v>
      </c>
      <c r="I289">
        <v>82.4</v>
      </c>
      <c r="J289">
        <v>1.36</v>
      </c>
      <c r="K289">
        <v>0</v>
      </c>
      <c r="L289">
        <v>4.8</v>
      </c>
      <c r="M289">
        <v>548103.69999999995</v>
      </c>
      <c r="N289">
        <v>99905.52</v>
      </c>
    </row>
    <row r="290" spans="1:14">
      <c r="A290" t="s">
        <v>94</v>
      </c>
      <c r="B290" s="3">
        <v>45658</v>
      </c>
      <c r="C290" t="s">
        <v>15</v>
      </c>
      <c r="D290" t="s">
        <v>16</v>
      </c>
      <c r="E290">
        <v>70012.41</v>
      </c>
      <c r="F290">
        <v>8484</v>
      </c>
      <c r="G290">
        <v>0.27300000000000002</v>
      </c>
      <c r="H290">
        <v>23</v>
      </c>
      <c r="I290">
        <v>72.900000000000006</v>
      </c>
      <c r="J290">
        <v>3.34</v>
      </c>
      <c r="K290">
        <v>0</v>
      </c>
      <c r="L290">
        <v>3.7</v>
      </c>
      <c r="M290">
        <v>729424.42</v>
      </c>
      <c r="N290">
        <v>75592.28</v>
      </c>
    </row>
    <row r="291" spans="1:14">
      <c r="A291" t="s">
        <v>94</v>
      </c>
      <c r="B291" s="3">
        <v>45689</v>
      </c>
      <c r="C291" t="s">
        <v>15</v>
      </c>
      <c r="D291" t="s">
        <v>16</v>
      </c>
      <c r="E291">
        <v>68909.259999999995</v>
      </c>
      <c r="F291">
        <v>7794</v>
      </c>
      <c r="G291">
        <v>0.28399999999999997</v>
      </c>
      <c r="H291">
        <v>22</v>
      </c>
      <c r="I291">
        <v>89</v>
      </c>
      <c r="J291">
        <v>0.33</v>
      </c>
      <c r="K291">
        <v>0</v>
      </c>
      <c r="L291">
        <v>4</v>
      </c>
      <c r="M291">
        <v>696261.49</v>
      </c>
      <c r="N291">
        <v>72455.350000000006</v>
      </c>
    </row>
    <row r="292" spans="1:14">
      <c r="A292" t="s">
        <v>94</v>
      </c>
      <c r="B292" s="3">
        <v>45717</v>
      </c>
      <c r="C292" t="s">
        <v>15</v>
      </c>
      <c r="D292" t="s">
        <v>16</v>
      </c>
      <c r="E292">
        <v>56737.3</v>
      </c>
      <c r="F292">
        <v>8300</v>
      </c>
      <c r="G292">
        <v>3.2000000000000001E-2</v>
      </c>
      <c r="H292">
        <v>21</v>
      </c>
      <c r="I292">
        <v>83.2</v>
      </c>
      <c r="J292">
        <v>3.44</v>
      </c>
      <c r="K292">
        <v>1</v>
      </c>
      <c r="L292">
        <v>4.3</v>
      </c>
      <c r="M292">
        <v>813316.71</v>
      </c>
      <c r="N292">
        <v>110077.42</v>
      </c>
    </row>
    <row r="293" spans="1:14">
      <c r="A293" t="s">
        <v>94</v>
      </c>
      <c r="B293" s="3">
        <v>45748</v>
      </c>
      <c r="C293" t="s">
        <v>15</v>
      </c>
      <c r="D293" t="s">
        <v>16</v>
      </c>
      <c r="E293">
        <v>54080.91</v>
      </c>
      <c r="F293">
        <v>7083</v>
      </c>
      <c r="G293">
        <v>0</v>
      </c>
      <c r="H293">
        <v>15</v>
      </c>
      <c r="I293">
        <v>97</v>
      </c>
      <c r="J293">
        <v>5.33</v>
      </c>
      <c r="K293">
        <v>0</v>
      </c>
      <c r="L293">
        <v>4.0999999999999996</v>
      </c>
      <c r="M293">
        <v>702068.92</v>
      </c>
      <c r="N293">
        <v>111266.63</v>
      </c>
    </row>
    <row r="294" spans="1:14">
      <c r="A294" t="s">
        <v>95</v>
      </c>
      <c r="B294" s="3">
        <v>45658</v>
      </c>
      <c r="C294" t="s">
        <v>27</v>
      </c>
      <c r="D294" t="s">
        <v>18</v>
      </c>
      <c r="E294">
        <v>51996.32</v>
      </c>
      <c r="F294">
        <v>3834</v>
      </c>
      <c r="G294">
        <v>9.6000000000000002E-2</v>
      </c>
      <c r="H294">
        <v>8</v>
      </c>
      <c r="I294">
        <v>86.7</v>
      </c>
      <c r="J294">
        <v>6.04</v>
      </c>
      <c r="K294">
        <v>0</v>
      </c>
      <c r="L294">
        <v>4.5</v>
      </c>
      <c r="M294">
        <v>546223.69999999995</v>
      </c>
      <c r="N294">
        <v>100769.17</v>
      </c>
    </row>
    <row r="295" spans="1:14">
      <c r="A295" t="s">
        <v>95</v>
      </c>
      <c r="B295" s="3">
        <v>45689</v>
      </c>
      <c r="C295" t="s">
        <v>27</v>
      </c>
      <c r="D295" t="s">
        <v>18</v>
      </c>
      <c r="E295">
        <v>40102.879999999997</v>
      </c>
      <c r="F295">
        <v>2358</v>
      </c>
      <c r="G295">
        <v>0.11899999999999999</v>
      </c>
      <c r="H295">
        <v>9</v>
      </c>
      <c r="I295">
        <v>88.7</v>
      </c>
      <c r="J295">
        <v>1.6</v>
      </c>
      <c r="K295">
        <v>0</v>
      </c>
      <c r="L295">
        <v>4.2</v>
      </c>
      <c r="M295">
        <v>533121.26</v>
      </c>
      <c r="N295">
        <v>55063.39</v>
      </c>
    </row>
    <row r="296" spans="1:14">
      <c r="A296" t="s">
        <v>95</v>
      </c>
      <c r="B296" s="3">
        <v>45717</v>
      </c>
      <c r="C296" t="s">
        <v>27</v>
      </c>
      <c r="D296" t="s">
        <v>18</v>
      </c>
      <c r="E296">
        <v>59825.51</v>
      </c>
      <c r="F296">
        <v>1231</v>
      </c>
      <c r="G296">
        <v>0.214</v>
      </c>
      <c r="H296">
        <v>10</v>
      </c>
      <c r="I296">
        <v>84.8</v>
      </c>
      <c r="J296">
        <v>8.9600000000000009</v>
      </c>
      <c r="K296">
        <v>0</v>
      </c>
      <c r="L296">
        <v>4.7</v>
      </c>
      <c r="M296">
        <v>498970.32</v>
      </c>
      <c r="N296">
        <v>69656.7</v>
      </c>
    </row>
    <row r="297" spans="1:14">
      <c r="A297" t="s">
        <v>95</v>
      </c>
      <c r="B297" s="3">
        <v>45748</v>
      </c>
      <c r="C297" t="s">
        <v>27</v>
      </c>
      <c r="D297" t="s">
        <v>18</v>
      </c>
      <c r="E297">
        <v>27398.28</v>
      </c>
      <c r="F297">
        <v>1723</v>
      </c>
      <c r="G297">
        <v>0.17100000000000001</v>
      </c>
      <c r="H297">
        <v>9</v>
      </c>
      <c r="I297">
        <v>81</v>
      </c>
      <c r="J297">
        <v>0.74</v>
      </c>
      <c r="K297">
        <v>0</v>
      </c>
      <c r="L297">
        <v>4.5999999999999996</v>
      </c>
      <c r="M297">
        <v>487738.26</v>
      </c>
      <c r="N297">
        <v>96435.6</v>
      </c>
    </row>
    <row r="298" spans="1:14">
      <c r="A298" t="s">
        <v>96</v>
      </c>
      <c r="B298" s="3">
        <v>45658</v>
      </c>
      <c r="C298" t="s">
        <v>27</v>
      </c>
      <c r="D298" t="s">
        <v>18</v>
      </c>
      <c r="E298">
        <v>55599.56</v>
      </c>
      <c r="F298">
        <v>5896</v>
      </c>
      <c r="G298">
        <v>3.5999999999999997E-2</v>
      </c>
      <c r="H298">
        <v>12</v>
      </c>
      <c r="I298">
        <v>93.1</v>
      </c>
      <c r="J298">
        <v>6.13</v>
      </c>
      <c r="K298">
        <v>0</v>
      </c>
      <c r="L298">
        <v>3.3</v>
      </c>
      <c r="M298">
        <v>668459.37</v>
      </c>
      <c r="N298">
        <v>126435.42</v>
      </c>
    </row>
    <row r="299" spans="1:14">
      <c r="A299" t="s">
        <v>96</v>
      </c>
      <c r="B299" s="3">
        <v>45689</v>
      </c>
      <c r="C299" t="s">
        <v>27</v>
      </c>
      <c r="D299" t="s">
        <v>18</v>
      </c>
      <c r="E299">
        <v>55477.61</v>
      </c>
      <c r="F299">
        <v>5903</v>
      </c>
      <c r="G299">
        <v>0.10199999999999999</v>
      </c>
      <c r="H299">
        <v>14</v>
      </c>
      <c r="I299">
        <v>96.2</v>
      </c>
      <c r="J299">
        <v>1.41</v>
      </c>
      <c r="K299">
        <v>0</v>
      </c>
      <c r="L299">
        <v>3.3</v>
      </c>
      <c r="M299">
        <v>763162.45</v>
      </c>
      <c r="N299">
        <v>162524.04999999999</v>
      </c>
    </row>
    <row r="300" spans="1:14">
      <c r="A300" t="s">
        <v>96</v>
      </c>
      <c r="B300" s="3">
        <v>45717</v>
      </c>
      <c r="C300" t="s">
        <v>27</v>
      </c>
      <c r="D300" t="s">
        <v>18</v>
      </c>
      <c r="E300">
        <v>46174.7</v>
      </c>
      <c r="F300">
        <v>4898</v>
      </c>
      <c r="G300">
        <v>0.114</v>
      </c>
      <c r="H300">
        <v>11</v>
      </c>
      <c r="I300">
        <v>91.7</v>
      </c>
      <c r="J300">
        <v>3.75</v>
      </c>
      <c r="K300">
        <v>0</v>
      </c>
      <c r="L300">
        <v>3.1</v>
      </c>
      <c r="M300">
        <v>599017.32999999996</v>
      </c>
      <c r="N300">
        <v>134009.92000000001</v>
      </c>
    </row>
    <row r="301" spans="1:14">
      <c r="A301" t="s">
        <v>96</v>
      </c>
      <c r="B301" s="3">
        <v>45748</v>
      </c>
      <c r="C301" t="s">
        <v>27</v>
      </c>
      <c r="D301" t="s">
        <v>18</v>
      </c>
      <c r="E301">
        <v>24362.98</v>
      </c>
      <c r="F301">
        <v>1462</v>
      </c>
      <c r="G301">
        <v>0.11700000000000001</v>
      </c>
      <c r="H301">
        <v>6</v>
      </c>
      <c r="I301">
        <v>89.3</v>
      </c>
      <c r="J301">
        <v>15.06</v>
      </c>
      <c r="K301">
        <v>0</v>
      </c>
      <c r="L301">
        <v>3.2</v>
      </c>
      <c r="M301">
        <v>401582.58</v>
      </c>
      <c r="N301">
        <v>68454.929999999993</v>
      </c>
    </row>
    <row r="302" spans="1:14">
      <c r="A302" t="s">
        <v>97</v>
      </c>
      <c r="B302" s="3">
        <v>45658</v>
      </c>
      <c r="C302" t="s">
        <v>20</v>
      </c>
      <c r="D302" t="s">
        <v>28</v>
      </c>
      <c r="E302">
        <v>40647.67</v>
      </c>
      <c r="F302">
        <v>8252</v>
      </c>
      <c r="G302">
        <v>0.14099999999999999</v>
      </c>
      <c r="H302">
        <v>22</v>
      </c>
      <c r="I302">
        <v>88.2</v>
      </c>
      <c r="J302">
        <v>5.07</v>
      </c>
      <c r="K302">
        <v>1</v>
      </c>
      <c r="L302">
        <v>4.0999999999999996</v>
      </c>
      <c r="M302">
        <v>703812.99</v>
      </c>
      <c r="N302">
        <v>133577.98000000001</v>
      </c>
    </row>
    <row r="303" spans="1:14">
      <c r="A303" t="s">
        <v>97</v>
      </c>
      <c r="B303" s="3">
        <v>45689</v>
      </c>
      <c r="C303" t="s">
        <v>20</v>
      </c>
      <c r="D303" t="s">
        <v>28</v>
      </c>
      <c r="E303">
        <v>63986.98</v>
      </c>
      <c r="F303">
        <v>7989</v>
      </c>
      <c r="G303">
        <v>7.3999999999999996E-2</v>
      </c>
      <c r="H303">
        <v>20</v>
      </c>
      <c r="I303">
        <v>83.3</v>
      </c>
      <c r="J303">
        <v>3.6</v>
      </c>
      <c r="K303">
        <v>0</v>
      </c>
      <c r="L303">
        <v>3.7</v>
      </c>
      <c r="M303">
        <v>724346.73</v>
      </c>
      <c r="N303">
        <v>155013.91</v>
      </c>
    </row>
    <row r="304" spans="1:14">
      <c r="A304" t="s">
        <v>97</v>
      </c>
      <c r="B304" s="3">
        <v>45717</v>
      </c>
      <c r="C304" t="s">
        <v>20</v>
      </c>
      <c r="D304" t="s">
        <v>28</v>
      </c>
      <c r="E304">
        <v>52843.75</v>
      </c>
      <c r="F304">
        <v>8268</v>
      </c>
      <c r="G304">
        <v>0.13800000000000001</v>
      </c>
      <c r="H304">
        <v>19</v>
      </c>
      <c r="I304">
        <v>87.3</v>
      </c>
      <c r="J304">
        <v>4.3899999999999997</v>
      </c>
      <c r="K304">
        <v>1</v>
      </c>
      <c r="L304">
        <v>4.7</v>
      </c>
      <c r="M304">
        <v>730890.01</v>
      </c>
      <c r="N304">
        <v>105502.56</v>
      </c>
    </row>
    <row r="305" spans="1:14">
      <c r="A305" t="s">
        <v>97</v>
      </c>
      <c r="B305" s="3">
        <v>45748</v>
      </c>
      <c r="C305" t="s">
        <v>20</v>
      </c>
      <c r="D305" t="s">
        <v>28</v>
      </c>
      <c r="E305">
        <v>31997.25</v>
      </c>
      <c r="F305">
        <v>8183</v>
      </c>
      <c r="G305">
        <v>0.19800000000000001</v>
      </c>
      <c r="H305">
        <v>18</v>
      </c>
      <c r="I305">
        <v>93</v>
      </c>
      <c r="J305">
        <v>2.79</v>
      </c>
      <c r="K305">
        <v>0</v>
      </c>
      <c r="L305">
        <v>4.2</v>
      </c>
      <c r="M305">
        <v>780580.95</v>
      </c>
      <c r="N305">
        <v>138144.46</v>
      </c>
    </row>
    <row r="306" spans="1:14">
      <c r="A306" t="s">
        <v>98</v>
      </c>
      <c r="B306" s="3">
        <v>45658</v>
      </c>
      <c r="C306" t="s">
        <v>24</v>
      </c>
      <c r="D306" t="s">
        <v>16</v>
      </c>
      <c r="E306">
        <v>54948.02</v>
      </c>
      <c r="F306">
        <v>6534</v>
      </c>
      <c r="G306">
        <v>0.183</v>
      </c>
      <c r="H306">
        <v>14</v>
      </c>
      <c r="I306">
        <v>94.5</v>
      </c>
      <c r="J306">
        <v>1.56</v>
      </c>
      <c r="K306">
        <v>0</v>
      </c>
      <c r="L306">
        <v>4</v>
      </c>
      <c r="M306">
        <v>727957.48</v>
      </c>
      <c r="N306">
        <v>74805.23</v>
      </c>
    </row>
    <row r="307" spans="1:14">
      <c r="A307" t="s">
        <v>98</v>
      </c>
      <c r="B307" s="3">
        <v>45689</v>
      </c>
      <c r="C307" t="s">
        <v>24</v>
      </c>
      <c r="D307" t="s">
        <v>16</v>
      </c>
      <c r="E307">
        <v>46146.239999999998</v>
      </c>
      <c r="F307">
        <v>5804</v>
      </c>
      <c r="G307">
        <v>4.7E-2</v>
      </c>
      <c r="H307">
        <v>16</v>
      </c>
      <c r="I307">
        <v>86.9</v>
      </c>
      <c r="J307">
        <v>15.82</v>
      </c>
      <c r="K307">
        <v>0</v>
      </c>
      <c r="L307">
        <v>3.8</v>
      </c>
      <c r="M307">
        <v>538376</v>
      </c>
      <c r="N307">
        <v>87605.62</v>
      </c>
    </row>
    <row r="308" spans="1:14">
      <c r="A308" t="s">
        <v>98</v>
      </c>
      <c r="B308" s="3">
        <v>45717</v>
      </c>
      <c r="C308" t="s">
        <v>24</v>
      </c>
      <c r="D308" t="s">
        <v>16</v>
      </c>
      <c r="E308">
        <v>22387.26</v>
      </c>
      <c r="F308">
        <v>6301</v>
      </c>
      <c r="G308">
        <v>0.14599999999999999</v>
      </c>
      <c r="H308">
        <v>14</v>
      </c>
      <c r="I308">
        <v>85.9</v>
      </c>
      <c r="J308">
        <v>1.17</v>
      </c>
      <c r="K308">
        <v>1</v>
      </c>
      <c r="L308">
        <v>3.7</v>
      </c>
      <c r="M308">
        <v>665342.49</v>
      </c>
      <c r="N308">
        <v>93441.81</v>
      </c>
    </row>
    <row r="309" spans="1:14">
      <c r="A309" t="s">
        <v>98</v>
      </c>
      <c r="B309" s="3">
        <v>45748</v>
      </c>
      <c r="C309" t="s">
        <v>24</v>
      </c>
      <c r="D309" t="s">
        <v>16</v>
      </c>
      <c r="E309">
        <v>60684.05</v>
      </c>
      <c r="F309">
        <v>6399</v>
      </c>
      <c r="G309">
        <v>7.4999999999999997E-2</v>
      </c>
      <c r="H309">
        <v>16</v>
      </c>
      <c r="I309">
        <v>99</v>
      </c>
      <c r="J309">
        <v>3.82</v>
      </c>
      <c r="K309">
        <v>0</v>
      </c>
      <c r="L309">
        <v>3.5</v>
      </c>
      <c r="M309">
        <v>651164.18000000005</v>
      </c>
      <c r="N309">
        <v>109466.5</v>
      </c>
    </row>
    <row r="310" spans="1:14">
      <c r="A310" t="s">
        <v>99</v>
      </c>
      <c r="B310" s="3">
        <v>45658</v>
      </c>
      <c r="C310" t="s">
        <v>24</v>
      </c>
      <c r="D310" t="s">
        <v>18</v>
      </c>
      <c r="E310">
        <v>48465.599999999999</v>
      </c>
      <c r="F310">
        <v>5759</v>
      </c>
      <c r="G310">
        <v>0.154</v>
      </c>
      <c r="H310">
        <v>13</v>
      </c>
      <c r="I310">
        <v>87.5</v>
      </c>
      <c r="J310">
        <v>4.1399999999999997</v>
      </c>
      <c r="K310">
        <v>0</v>
      </c>
      <c r="L310">
        <v>4</v>
      </c>
      <c r="M310">
        <v>628538.30000000005</v>
      </c>
      <c r="N310">
        <v>112509.15</v>
      </c>
    </row>
    <row r="311" spans="1:14">
      <c r="A311" t="s">
        <v>99</v>
      </c>
      <c r="B311" s="3">
        <v>45689</v>
      </c>
      <c r="C311" t="s">
        <v>24</v>
      </c>
      <c r="D311" t="s">
        <v>18</v>
      </c>
      <c r="E311">
        <v>23702.38</v>
      </c>
      <c r="F311">
        <v>5285</v>
      </c>
      <c r="G311">
        <v>0.16700000000000001</v>
      </c>
      <c r="H311">
        <v>14</v>
      </c>
      <c r="I311">
        <v>79.7</v>
      </c>
      <c r="J311">
        <v>1.1000000000000001</v>
      </c>
      <c r="K311">
        <v>0</v>
      </c>
      <c r="L311">
        <v>4.3</v>
      </c>
      <c r="M311">
        <v>536524.84</v>
      </c>
      <c r="N311">
        <v>92752.94</v>
      </c>
    </row>
    <row r="312" spans="1:14">
      <c r="A312" t="s">
        <v>99</v>
      </c>
      <c r="B312" s="3">
        <v>45717</v>
      </c>
      <c r="C312" t="s">
        <v>24</v>
      </c>
      <c r="D312" t="s">
        <v>18</v>
      </c>
      <c r="E312">
        <v>54322.94</v>
      </c>
      <c r="F312">
        <v>5434</v>
      </c>
      <c r="G312">
        <v>0.2</v>
      </c>
      <c r="H312">
        <v>13</v>
      </c>
      <c r="I312">
        <v>85.7</v>
      </c>
      <c r="J312">
        <v>10.6</v>
      </c>
      <c r="K312">
        <v>0</v>
      </c>
      <c r="L312">
        <v>4.2</v>
      </c>
      <c r="M312">
        <v>621677.30000000005</v>
      </c>
      <c r="N312">
        <v>105192.52</v>
      </c>
    </row>
    <row r="313" spans="1:14">
      <c r="A313" t="s">
        <v>99</v>
      </c>
      <c r="B313" s="3">
        <v>45748</v>
      </c>
      <c r="C313" t="s">
        <v>24</v>
      </c>
      <c r="D313" t="s">
        <v>18</v>
      </c>
      <c r="E313">
        <v>86026.58</v>
      </c>
      <c r="F313">
        <v>7479</v>
      </c>
      <c r="G313">
        <v>0.14199999999999999</v>
      </c>
      <c r="H313">
        <v>20</v>
      </c>
      <c r="I313">
        <v>89</v>
      </c>
      <c r="J313">
        <v>0.9</v>
      </c>
      <c r="K313">
        <v>0</v>
      </c>
      <c r="L313" s="6">
        <v>3.92</v>
      </c>
      <c r="M313">
        <v>771129.07</v>
      </c>
      <c r="N313">
        <v>116851.13</v>
      </c>
    </row>
    <row r="314" spans="1:14">
      <c r="A314" t="s">
        <v>100</v>
      </c>
      <c r="B314" s="3">
        <v>45658</v>
      </c>
      <c r="C314" t="s">
        <v>20</v>
      </c>
      <c r="D314" t="s">
        <v>16</v>
      </c>
      <c r="E314">
        <v>78967.520000000004</v>
      </c>
      <c r="F314">
        <v>6164</v>
      </c>
      <c r="G314">
        <v>2.1000000000000001E-2</v>
      </c>
      <c r="H314">
        <v>16</v>
      </c>
      <c r="I314">
        <v>85.5</v>
      </c>
      <c r="J314">
        <v>0.2</v>
      </c>
      <c r="K314">
        <v>0</v>
      </c>
      <c r="L314">
        <v>3.4</v>
      </c>
      <c r="M314">
        <v>702052.47</v>
      </c>
      <c r="N314">
        <v>121732.51</v>
      </c>
    </row>
    <row r="315" spans="1:14">
      <c r="A315" t="s">
        <v>100</v>
      </c>
      <c r="B315" s="3">
        <v>45689</v>
      </c>
      <c r="C315" t="s">
        <v>20</v>
      </c>
      <c r="D315" t="s">
        <v>16</v>
      </c>
      <c r="E315">
        <v>46767.99</v>
      </c>
      <c r="F315">
        <v>7973</v>
      </c>
      <c r="G315">
        <v>0.183</v>
      </c>
      <c r="H315">
        <v>18</v>
      </c>
      <c r="I315">
        <v>94.8</v>
      </c>
      <c r="J315">
        <v>4.67</v>
      </c>
      <c r="K315">
        <v>0</v>
      </c>
      <c r="L315" s="6">
        <v>3.92</v>
      </c>
      <c r="M315">
        <v>688368.46</v>
      </c>
      <c r="N315">
        <v>93588.42</v>
      </c>
    </row>
    <row r="316" spans="1:14">
      <c r="A316" t="s">
        <v>100</v>
      </c>
      <c r="B316" s="3">
        <v>45717</v>
      </c>
      <c r="C316" t="s">
        <v>20</v>
      </c>
      <c r="D316" t="s">
        <v>16</v>
      </c>
      <c r="E316">
        <v>62507.16</v>
      </c>
      <c r="F316">
        <v>6000</v>
      </c>
      <c r="G316">
        <v>9.0999999999999998E-2</v>
      </c>
      <c r="H316">
        <v>14</v>
      </c>
      <c r="I316">
        <v>98.2</v>
      </c>
      <c r="J316">
        <v>4.38</v>
      </c>
      <c r="K316">
        <v>1</v>
      </c>
      <c r="L316">
        <v>3.9</v>
      </c>
      <c r="M316">
        <v>712375.77</v>
      </c>
      <c r="N316">
        <v>104171.53</v>
      </c>
    </row>
    <row r="317" spans="1:14">
      <c r="A317" t="s">
        <v>100</v>
      </c>
      <c r="B317" s="3">
        <v>45748</v>
      </c>
      <c r="C317" t="s">
        <v>20</v>
      </c>
      <c r="D317" t="s">
        <v>16</v>
      </c>
      <c r="E317">
        <v>66456.28</v>
      </c>
      <c r="F317">
        <v>9967</v>
      </c>
      <c r="G317">
        <v>0.108</v>
      </c>
      <c r="H317">
        <v>20</v>
      </c>
      <c r="I317">
        <v>94.7</v>
      </c>
      <c r="J317">
        <v>4.4800000000000004</v>
      </c>
      <c r="K317">
        <v>0</v>
      </c>
      <c r="L317">
        <v>4.2</v>
      </c>
      <c r="M317">
        <v>844710.67</v>
      </c>
      <c r="N317">
        <v>137140.18</v>
      </c>
    </row>
    <row r="318" spans="1:14">
      <c r="A318" t="s">
        <v>101</v>
      </c>
      <c r="B318" s="3">
        <v>45658</v>
      </c>
      <c r="C318" t="s">
        <v>15</v>
      </c>
      <c r="D318" t="s">
        <v>16</v>
      </c>
      <c r="E318">
        <v>76614.320000000007</v>
      </c>
      <c r="F318">
        <v>5639</v>
      </c>
      <c r="G318">
        <v>0.17399999999999999</v>
      </c>
      <c r="H318">
        <v>15</v>
      </c>
      <c r="I318">
        <v>92.9</v>
      </c>
      <c r="J318">
        <v>1.02</v>
      </c>
      <c r="K318">
        <v>1</v>
      </c>
      <c r="L318">
        <v>4</v>
      </c>
      <c r="M318">
        <v>620264.19999999995</v>
      </c>
      <c r="N318">
        <v>91365.64</v>
      </c>
    </row>
    <row r="319" spans="1:14">
      <c r="A319" t="s">
        <v>101</v>
      </c>
      <c r="B319" s="3">
        <v>45689</v>
      </c>
      <c r="C319" t="s">
        <v>15</v>
      </c>
      <c r="D319" t="s">
        <v>16</v>
      </c>
      <c r="E319">
        <v>24088.06</v>
      </c>
      <c r="F319">
        <v>3466</v>
      </c>
      <c r="G319">
        <v>0</v>
      </c>
      <c r="H319">
        <v>11</v>
      </c>
      <c r="I319">
        <v>88</v>
      </c>
      <c r="J319">
        <v>0.2</v>
      </c>
      <c r="K319">
        <v>0</v>
      </c>
      <c r="L319">
        <v>3.8</v>
      </c>
      <c r="M319">
        <v>536845.42000000004</v>
      </c>
      <c r="N319">
        <v>107473.75</v>
      </c>
    </row>
    <row r="320" spans="1:14">
      <c r="A320" t="s">
        <v>101</v>
      </c>
      <c r="B320" s="3">
        <v>45717</v>
      </c>
      <c r="C320" t="s">
        <v>15</v>
      </c>
      <c r="D320" t="s">
        <v>16</v>
      </c>
      <c r="E320">
        <v>81902.58</v>
      </c>
      <c r="F320">
        <v>7775</v>
      </c>
      <c r="G320">
        <v>0.215</v>
      </c>
      <c r="H320">
        <v>20</v>
      </c>
      <c r="I320">
        <v>85.2</v>
      </c>
      <c r="J320">
        <v>4.8899999999999997</v>
      </c>
      <c r="K320">
        <v>1</v>
      </c>
      <c r="L320">
        <v>4.2</v>
      </c>
      <c r="M320">
        <v>726776.22</v>
      </c>
      <c r="N320">
        <v>90804.49</v>
      </c>
    </row>
    <row r="321" spans="1:14">
      <c r="A321" t="s">
        <v>101</v>
      </c>
      <c r="B321" s="3">
        <v>45748</v>
      </c>
      <c r="C321" t="s">
        <v>15</v>
      </c>
      <c r="D321" t="s">
        <v>16</v>
      </c>
      <c r="E321">
        <v>40553.11</v>
      </c>
      <c r="F321">
        <v>5317</v>
      </c>
      <c r="G321">
        <v>0.16500000000000001</v>
      </c>
      <c r="H321">
        <v>17</v>
      </c>
      <c r="I321">
        <v>84.3</v>
      </c>
      <c r="J321">
        <v>11.82</v>
      </c>
      <c r="K321">
        <v>0</v>
      </c>
      <c r="L321">
        <v>4.0999999999999996</v>
      </c>
      <c r="M321">
        <v>559660.84</v>
      </c>
      <c r="N321">
        <v>71443.61</v>
      </c>
    </row>
    <row r="324" spans="1:14">
      <c r="J324" s="5"/>
      <c r="L324"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40CF0-780B-C74C-8E43-0B7197DBC3FE}">
  <dimension ref="A1:T324"/>
  <sheetViews>
    <sheetView topLeftCell="F1" workbookViewId="0">
      <pane ySplit="1" topLeftCell="A271" activePane="bottomLeft" state="frozen"/>
      <selection pane="bottomLeft" activeCell="K57" sqref="K57"/>
    </sheetView>
  </sheetViews>
  <sheetFormatPr baseColWidth="10" defaultColWidth="8.83203125" defaultRowHeight="14"/>
  <cols>
    <col min="1" max="1" width="10.6640625" customWidth="1"/>
    <col min="2" max="2" width="14.33203125" customWidth="1"/>
    <col min="3" max="3" width="10.1640625" customWidth="1"/>
    <col min="4" max="4" width="13.6640625" customWidth="1"/>
    <col min="5" max="5" width="13.33203125" customWidth="1"/>
    <col min="6" max="6" width="13.1640625" customWidth="1"/>
    <col min="7" max="14" width="16" customWidth="1"/>
    <col min="15" max="18" width="14" customWidth="1"/>
    <col min="19" max="19" width="16" customWidth="1"/>
    <col min="20" max="20" width="14" customWidth="1"/>
  </cols>
  <sheetData>
    <row r="1" spans="1:20" ht="37.25" customHeight="1">
      <c r="A1" s="2" t="s">
        <v>0</v>
      </c>
      <c r="B1" s="2" t="s">
        <v>1</v>
      </c>
      <c r="C1" s="2" t="s">
        <v>2</v>
      </c>
      <c r="D1" s="2" t="s">
        <v>3</v>
      </c>
      <c r="E1" s="2" t="s">
        <v>4</v>
      </c>
      <c r="F1" s="2" t="s">
        <v>5</v>
      </c>
      <c r="G1" s="2" t="s">
        <v>6</v>
      </c>
      <c r="H1" s="2" t="s">
        <v>7</v>
      </c>
      <c r="I1" s="2" t="s">
        <v>8</v>
      </c>
      <c r="J1" s="2" t="s">
        <v>9</v>
      </c>
      <c r="K1" s="2" t="s">
        <v>10</v>
      </c>
      <c r="L1" s="2" t="s">
        <v>11</v>
      </c>
      <c r="M1" s="2" t="s">
        <v>12</v>
      </c>
      <c r="N1" s="2" t="s">
        <v>13</v>
      </c>
      <c r="O1" s="7" t="s">
        <v>118</v>
      </c>
      <c r="P1" s="7" t="s">
        <v>119</v>
      </c>
      <c r="Q1" s="7" t="s">
        <v>120</v>
      </c>
      <c r="R1" s="7" t="s">
        <v>121</v>
      </c>
      <c r="S1" s="7" t="s">
        <v>122</v>
      </c>
      <c r="T1" s="7" t="s">
        <v>123</v>
      </c>
    </row>
    <row r="2" spans="1:20">
      <c r="A2" t="s">
        <v>14</v>
      </c>
      <c r="B2" s="3">
        <v>45658</v>
      </c>
      <c r="C2" t="s">
        <v>15</v>
      </c>
      <c r="D2" t="s">
        <v>16</v>
      </c>
      <c r="E2">
        <v>70389.11</v>
      </c>
      <c r="F2">
        <v>8302</v>
      </c>
      <c r="G2">
        <v>4.2000000000000003E-2</v>
      </c>
      <c r="H2">
        <v>17</v>
      </c>
      <c r="I2">
        <v>75</v>
      </c>
      <c r="J2">
        <v>5.28</v>
      </c>
      <c r="K2">
        <v>1</v>
      </c>
      <c r="L2">
        <v>3.1</v>
      </c>
      <c r="M2">
        <v>658832.62</v>
      </c>
      <c r="N2">
        <v>84349.93</v>
      </c>
      <c r="O2">
        <f>IF(C2="North",1,0)</f>
        <v>0</v>
      </c>
      <c r="P2">
        <f>IF(C2="South",1,0)</f>
        <v>0</v>
      </c>
      <c r="Q2">
        <f>IF(C2="East",1,0)</f>
        <v>1</v>
      </c>
      <c r="R2">
        <f>IF(D2="Airport",1,0)</f>
        <v>0</v>
      </c>
      <c r="S2">
        <f>IF(D2="High Street",1,0)</f>
        <v>0</v>
      </c>
      <c r="T2">
        <f>IF(D2="Mall",1,0)</f>
        <v>0</v>
      </c>
    </row>
    <row r="3" spans="1:20">
      <c r="A3" t="s">
        <v>14</v>
      </c>
      <c r="B3" s="3">
        <v>45689</v>
      </c>
      <c r="C3" t="s">
        <v>15</v>
      </c>
      <c r="D3" t="s">
        <v>16</v>
      </c>
      <c r="E3">
        <v>43827.89</v>
      </c>
      <c r="F3">
        <v>8487</v>
      </c>
      <c r="G3">
        <v>0.16800000000000001</v>
      </c>
      <c r="H3">
        <v>23</v>
      </c>
      <c r="I3">
        <v>84.4</v>
      </c>
      <c r="J3">
        <v>4.3099999999999996</v>
      </c>
      <c r="K3">
        <v>0</v>
      </c>
      <c r="L3">
        <v>2.8</v>
      </c>
      <c r="M3">
        <v>634436</v>
      </c>
      <c r="N3">
        <v>106130.54</v>
      </c>
      <c r="O3">
        <f t="shared" ref="O3:O66" si="0">IF(C3="North",1,0)</f>
        <v>0</v>
      </c>
      <c r="P3">
        <f t="shared" ref="P3:P66" si="1">IF(C3="South",1,0)</f>
        <v>0</v>
      </c>
      <c r="Q3">
        <f t="shared" ref="Q3:Q66" si="2">IF(C3="East",1,0)</f>
        <v>1</v>
      </c>
      <c r="R3">
        <f t="shared" ref="R3:R66" si="3">IF(D3="Airport",1,0)</f>
        <v>0</v>
      </c>
      <c r="S3">
        <f t="shared" ref="S3:S66" si="4">IF(D3="High Street",1,0)</f>
        <v>0</v>
      </c>
      <c r="T3">
        <f t="shared" ref="T3:T66" si="5">IF(D3="Mall",1,0)</f>
        <v>0</v>
      </c>
    </row>
    <row r="4" spans="1:20">
      <c r="A4" t="s">
        <v>14</v>
      </c>
      <c r="B4" s="3">
        <v>45717</v>
      </c>
      <c r="C4" t="s">
        <v>15</v>
      </c>
      <c r="D4" t="s">
        <v>16</v>
      </c>
      <c r="E4">
        <v>59921.75</v>
      </c>
      <c r="F4">
        <v>9113</v>
      </c>
      <c r="G4">
        <v>0.13300000000000001</v>
      </c>
      <c r="H4">
        <v>20</v>
      </c>
      <c r="I4">
        <v>88</v>
      </c>
      <c r="J4">
        <v>12</v>
      </c>
      <c r="K4">
        <v>0</v>
      </c>
      <c r="L4">
        <v>3.2</v>
      </c>
      <c r="M4">
        <v>678722.06</v>
      </c>
      <c r="N4">
        <v>101883.86</v>
      </c>
      <c r="O4">
        <f t="shared" si="0"/>
        <v>0</v>
      </c>
      <c r="P4">
        <f t="shared" si="1"/>
        <v>0</v>
      </c>
      <c r="Q4">
        <f t="shared" si="2"/>
        <v>1</v>
      </c>
      <c r="R4">
        <f t="shared" si="3"/>
        <v>0</v>
      </c>
      <c r="S4">
        <f t="shared" si="4"/>
        <v>0</v>
      </c>
      <c r="T4">
        <f t="shared" si="5"/>
        <v>0</v>
      </c>
    </row>
    <row r="5" spans="1:20">
      <c r="A5" t="s">
        <v>14</v>
      </c>
      <c r="B5" s="3">
        <v>45748</v>
      </c>
      <c r="C5" t="s">
        <v>15</v>
      </c>
      <c r="D5" t="s">
        <v>16</v>
      </c>
      <c r="E5">
        <v>56856.63</v>
      </c>
      <c r="F5">
        <v>9431</v>
      </c>
      <c r="G5">
        <v>0.14199999999999999</v>
      </c>
      <c r="H5">
        <v>23</v>
      </c>
      <c r="I5">
        <v>86.9</v>
      </c>
      <c r="J5">
        <v>4.97</v>
      </c>
      <c r="K5">
        <v>0</v>
      </c>
      <c r="L5">
        <v>3.4</v>
      </c>
      <c r="M5">
        <v>658920.30000000005</v>
      </c>
      <c r="N5">
        <v>97910.37</v>
      </c>
      <c r="O5">
        <f t="shared" si="0"/>
        <v>0</v>
      </c>
      <c r="P5">
        <f t="shared" si="1"/>
        <v>0</v>
      </c>
      <c r="Q5">
        <f t="shared" si="2"/>
        <v>1</v>
      </c>
      <c r="R5">
        <f t="shared" si="3"/>
        <v>0</v>
      </c>
      <c r="S5">
        <f t="shared" si="4"/>
        <v>0</v>
      </c>
      <c r="T5">
        <f t="shared" si="5"/>
        <v>0</v>
      </c>
    </row>
    <row r="6" spans="1:20">
      <c r="A6" t="s">
        <v>17</v>
      </c>
      <c r="B6" s="3">
        <v>45658</v>
      </c>
      <c r="C6" t="s">
        <v>15</v>
      </c>
      <c r="D6" t="s">
        <v>18</v>
      </c>
      <c r="E6">
        <v>48412.639999999999</v>
      </c>
      <c r="F6">
        <v>9545</v>
      </c>
      <c r="G6">
        <v>0.23100000000000001</v>
      </c>
      <c r="H6">
        <v>21</v>
      </c>
      <c r="I6">
        <v>97.6</v>
      </c>
      <c r="J6">
        <v>6.94</v>
      </c>
      <c r="K6">
        <v>1</v>
      </c>
      <c r="L6">
        <v>4.2</v>
      </c>
      <c r="M6">
        <v>741341.44</v>
      </c>
      <c r="N6">
        <v>119208.17</v>
      </c>
      <c r="O6">
        <f t="shared" si="0"/>
        <v>0</v>
      </c>
      <c r="P6">
        <f t="shared" si="1"/>
        <v>0</v>
      </c>
      <c r="Q6">
        <f t="shared" si="2"/>
        <v>1</v>
      </c>
      <c r="R6">
        <f t="shared" si="3"/>
        <v>0</v>
      </c>
      <c r="S6">
        <f t="shared" si="4"/>
        <v>1</v>
      </c>
      <c r="T6">
        <f t="shared" si="5"/>
        <v>0</v>
      </c>
    </row>
    <row r="7" spans="1:20">
      <c r="A7" t="s">
        <v>17</v>
      </c>
      <c r="B7" s="3">
        <v>45689</v>
      </c>
      <c r="C7" t="s">
        <v>15</v>
      </c>
      <c r="D7" t="s">
        <v>18</v>
      </c>
      <c r="E7">
        <v>64811.21</v>
      </c>
      <c r="F7">
        <v>9792</v>
      </c>
      <c r="G7">
        <v>0.112</v>
      </c>
      <c r="H7">
        <v>20</v>
      </c>
      <c r="I7">
        <v>84.2</v>
      </c>
      <c r="J7">
        <v>2.88</v>
      </c>
      <c r="K7">
        <v>0</v>
      </c>
      <c r="L7">
        <v>4.2</v>
      </c>
      <c r="M7">
        <v>761835.34</v>
      </c>
      <c r="N7">
        <v>149602.23000000001</v>
      </c>
      <c r="O7">
        <f t="shared" si="0"/>
        <v>0</v>
      </c>
      <c r="P7">
        <f t="shared" si="1"/>
        <v>0</v>
      </c>
      <c r="Q7">
        <f t="shared" si="2"/>
        <v>1</v>
      </c>
      <c r="R7">
        <f t="shared" si="3"/>
        <v>0</v>
      </c>
      <c r="S7">
        <f t="shared" si="4"/>
        <v>1</v>
      </c>
      <c r="T7">
        <f t="shared" si="5"/>
        <v>0</v>
      </c>
    </row>
    <row r="8" spans="1:20">
      <c r="A8" t="s">
        <v>17</v>
      </c>
      <c r="B8" s="3">
        <v>45717</v>
      </c>
      <c r="C8" t="s">
        <v>15</v>
      </c>
      <c r="D8" t="s">
        <v>18</v>
      </c>
      <c r="E8">
        <v>46213.45</v>
      </c>
      <c r="F8">
        <v>10616</v>
      </c>
      <c r="G8">
        <v>0.122</v>
      </c>
      <c r="H8">
        <v>22</v>
      </c>
      <c r="I8">
        <v>85.2</v>
      </c>
      <c r="J8">
        <v>0.2</v>
      </c>
      <c r="K8">
        <v>1</v>
      </c>
      <c r="L8">
        <v>4.0999999999999996</v>
      </c>
      <c r="M8">
        <v>806615.54</v>
      </c>
      <c r="N8">
        <v>131364.62</v>
      </c>
      <c r="O8">
        <f t="shared" si="0"/>
        <v>0</v>
      </c>
      <c r="P8">
        <f t="shared" si="1"/>
        <v>0</v>
      </c>
      <c r="Q8">
        <f t="shared" si="2"/>
        <v>1</v>
      </c>
      <c r="R8">
        <f t="shared" si="3"/>
        <v>0</v>
      </c>
      <c r="S8">
        <f t="shared" si="4"/>
        <v>1</v>
      </c>
      <c r="T8">
        <f t="shared" si="5"/>
        <v>0</v>
      </c>
    </row>
    <row r="9" spans="1:20">
      <c r="A9" t="s">
        <v>17</v>
      </c>
      <c r="B9" s="3">
        <v>45748</v>
      </c>
      <c r="C9" t="s">
        <v>15</v>
      </c>
      <c r="D9" t="s">
        <v>18</v>
      </c>
      <c r="E9">
        <v>68148.52</v>
      </c>
      <c r="F9">
        <v>8567</v>
      </c>
      <c r="G9">
        <v>0.127</v>
      </c>
      <c r="H9">
        <v>23</v>
      </c>
      <c r="I9">
        <v>95.6</v>
      </c>
      <c r="J9">
        <v>0.8</v>
      </c>
      <c r="K9">
        <v>0</v>
      </c>
      <c r="L9">
        <v>3.9</v>
      </c>
      <c r="M9">
        <v>850164.26</v>
      </c>
      <c r="N9">
        <v>149262.75</v>
      </c>
      <c r="O9">
        <f t="shared" si="0"/>
        <v>0</v>
      </c>
      <c r="P9">
        <f t="shared" si="1"/>
        <v>0</v>
      </c>
      <c r="Q9">
        <f t="shared" si="2"/>
        <v>1</v>
      </c>
      <c r="R9">
        <f t="shared" si="3"/>
        <v>0</v>
      </c>
      <c r="S9">
        <f t="shared" si="4"/>
        <v>1</v>
      </c>
      <c r="T9">
        <f t="shared" si="5"/>
        <v>0</v>
      </c>
    </row>
    <row r="10" spans="1:20">
      <c r="A10" t="s">
        <v>19</v>
      </c>
      <c r="B10" s="3">
        <v>45658</v>
      </c>
      <c r="C10" t="s">
        <v>20</v>
      </c>
      <c r="D10" t="s">
        <v>21</v>
      </c>
      <c r="E10">
        <v>71838.86</v>
      </c>
      <c r="F10">
        <v>10979</v>
      </c>
      <c r="G10">
        <v>0.215</v>
      </c>
      <c r="H10">
        <v>26</v>
      </c>
      <c r="I10">
        <v>88.6</v>
      </c>
      <c r="J10">
        <v>7.7</v>
      </c>
      <c r="K10">
        <v>1</v>
      </c>
      <c r="L10">
        <v>3.8</v>
      </c>
      <c r="M10">
        <v>930581.7</v>
      </c>
      <c r="N10">
        <v>136207.98000000001</v>
      </c>
      <c r="O10">
        <f t="shared" si="0"/>
        <v>1</v>
      </c>
      <c r="P10">
        <f t="shared" si="1"/>
        <v>0</v>
      </c>
      <c r="Q10">
        <f t="shared" si="2"/>
        <v>0</v>
      </c>
      <c r="R10">
        <f t="shared" si="3"/>
        <v>1</v>
      </c>
      <c r="S10">
        <f t="shared" si="4"/>
        <v>0</v>
      </c>
      <c r="T10">
        <f t="shared" si="5"/>
        <v>0</v>
      </c>
    </row>
    <row r="11" spans="1:20">
      <c r="A11" t="s">
        <v>19</v>
      </c>
      <c r="B11" s="3">
        <v>45689</v>
      </c>
      <c r="C11" t="s">
        <v>20</v>
      </c>
      <c r="D11" t="s">
        <v>21</v>
      </c>
      <c r="E11">
        <v>68133.440000000002</v>
      </c>
      <c r="F11">
        <v>9459</v>
      </c>
      <c r="G11">
        <v>0.22</v>
      </c>
      <c r="H11">
        <v>21</v>
      </c>
      <c r="I11">
        <v>85</v>
      </c>
      <c r="J11">
        <v>1.91</v>
      </c>
      <c r="K11">
        <v>0</v>
      </c>
      <c r="L11">
        <v>4.2</v>
      </c>
      <c r="M11">
        <v>779010.94</v>
      </c>
      <c r="N11">
        <v>106328.09</v>
      </c>
      <c r="O11">
        <f t="shared" si="0"/>
        <v>1</v>
      </c>
      <c r="P11">
        <f t="shared" si="1"/>
        <v>0</v>
      </c>
      <c r="Q11">
        <f t="shared" si="2"/>
        <v>0</v>
      </c>
      <c r="R11">
        <f t="shared" si="3"/>
        <v>1</v>
      </c>
      <c r="S11">
        <f t="shared" si="4"/>
        <v>0</v>
      </c>
      <c r="T11">
        <f t="shared" si="5"/>
        <v>0</v>
      </c>
    </row>
    <row r="12" spans="1:20">
      <c r="A12" t="s">
        <v>19</v>
      </c>
      <c r="B12" s="3">
        <v>45717</v>
      </c>
      <c r="C12" t="s">
        <v>20</v>
      </c>
      <c r="D12" t="s">
        <v>21</v>
      </c>
      <c r="E12">
        <v>34285.21</v>
      </c>
      <c r="F12">
        <v>9172</v>
      </c>
      <c r="G12">
        <v>0.21299999999999999</v>
      </c>
      <c r="H12">
        <v>22</v>
      </c>
      <c r="I12">
        <v>88.3</v>
      </c>
      <c r="J12">
        <v>10.46</v>
      </c>
      <c r="K12">
        <v>1</v>
      </c>
      <c r="L12">
        <v>3.8</v>
      </c>
      <c r="M12">
        <v>723060.76</v>
      </c>
      <c r="N12">
        <v>123131.24</v>
      </c>
      <c r="O12">
        <f t="shared" si="0"/>
        <v>1</v>
      </c>
      <c r="P12">
        <f t="shared" si="1"/>
        <v>0</v>
      </c>
      <c r="Q12">
        <f t="shared" si="2"/>
        <v>0</v>
      </c>
      <c r="R12">
        <f t="shared" si="3"/>
        <v>1</v>
      </c>
      <c r="S12">
        <f t="shared" si="4"/>
        <v>0</v>
      </c>
      <c r="T12">
        <f t="shared" si="5"/>
        <v>0</v>
      </c>
    </row>
    <row r="13" spans="1:20">
      <c r="A13" t="s">
        <v>19</v>
      </c>
      <c r="B13" s="3">
        <v>45748</v>
      </c>
      <c r="C13" t="s">
        <v>20</v>
      </c>
      <c r="D13" t="s">
        <v>21</v>
      </c>
      <c r="E13">
        <v>67979.88</v>
      </c>
      <c r="F13">
        <v>11230</v>
      </c>
      <c r="G13">
        <v>2E-3</v>
      </c>
      <c r="H13">
        <v>28</v>
      </c>
      <c r="I13">
        <v>85.3</v>
      </c>
      <c r="J13">
        <v>7.16</v>
      </c>
      <c r="K13">
        <v>0</v>
      </c>
      <c r="L13">
        <v>3.8</v>
      </c>
      <c r="M13">
        <v>910791.94</v>
      </c>
      <c r="N13">
        <v>158891.28</v>
      </c>
      <c r="O13">
        <f t="shared" si="0"/>
        <v>1</v>
      </c>
      <c r="P13">
        <f t="shared" si="1"/>
        <v>0</v>
      </c>
      <c r="Q13">
        <f t="shared" si="2"/>
        <v>0</v>
      </c>
      <c r="R13">
        <f t="shared" si="3"/>
        <v>1</v>
      </c>
      <c r="S13">
        <f t="shared" si="4"/>
        <v>0</v>
      </c>
      <c r="T13">
        <f t="shared" si="5"/>
        <v>0</v>
      </c>
    </row>
    <row r="14" spans="1:20">
      <c r="A14" t="s">
        <v>22</v>
      </c>
      <c r="B14" s="3">
        <v>45658</v>
      </c>
      <c r="C14" t="s">
        <v>15</v>
      </c>
      <c r="D14" t="s">
        <v>16</v>
      </c>
      <c r="E14">
        <v>71828.259999999995</v>
      </c>
      <c r="F14">
        <v>12775</v>
      </c>
      <c r="G14">
        <v>0.11600000000000001</v>
      </c>
      <c r="H14">
        <v>30</v>
      </c>
      <c r="I14">
        <v>81.7</v>
      </c>
      <c r="J14">
        <v>4.24</v>
      </c>
      <c r="K14">
        <v>1</v>
      </c>
      <c r="L14">
        <v>4.2</v>
      </c>
      <c r="M14">
        <v>922168.6</v>
      </c>
      <c r="N14">
        <v>107494.53</v>
      </c>
      <c r="O14">
        <f t="shared" si="0"/>
        <v>0</v>
      </c>
      <c r="P14">
        <f t="shared" si="1"/>
        <v>0</v>
      </c>
      <c r="Q14">
        <f t="shared" si="2"/>
        <v>1</v>
      </c>
      <c r="R14">
        <f t="shared" si="3"/>
        <v>0</v>
      </c>
      <c r="S14">
        <f t="shared" si="4"/>
        <v>0</v>
      </c>
      <c r="T14">
        <f t="shared" si="5"/>
        <v>0</v>
      </c>
    </row>
    <row r="15" spans="1:20">
      <c r="A15" t="s">
        <v>22</v>
      </c>
      <c r="B15" s="3">
        <v>45689</v>
      </c>
      <c r="C15" t="s">
        <v>15</v>
      </c>
      <c r="D15" t="s">
        <v>16</v>
      </c>
      <c r="E15">
        <v>55716.82</v>
      </c>
      <c r="F15">
        <v>10054</v>
      </c>
      <c r="G15">
        <v>0.14599999999999999</v>
      </c>
      <c r="H15">
        <v>24</v>
      </c>
      <c r="I15">
        <v>84.9</v>
      </c>
      <c r="J15">
        <v>1.06</v>
      </c>
      <c r="K15">
        <v>0</v>
      </c>
      <c r="L15">
        <v>4.3</v>
      </c>
      <c r="M15">
        <v>726606.28</v>
      </c>
      <c r="N15">
        <v>122729.29</v>
      </c>
      <c r="O15">
        <f t="shared" si="0"/>
        <v>0</v>
      </c>
      <c r="P15">
        <f t="shared" si="1"/>
        <v>0</v>
      </c>
      <c r="Q15">
        <f t="shared" si="2"/>
        <v>1</v>
      </c>
      <c r="R15">
        <f t="shared" si="3"/>
        <v>0</v>
      </c>
      <c r="S15">
        <f t="shared" si="4"/>
        <v>0</v>
      </c>
      <c r="T15">
        <f t="shared" si="5"/>
        <v>0</v>
      </c>
    </row>
    <row r="16" spans="1:20">
      <c r="A16" t="s">
        <v>22</v>
      </c>
      <c r="B16" s="3">
        <v>45717</v>
      </c>
      <c r="C16" t="s">
        <v>15</v>
      </c>
      <c r="D16" t="s">
        <v>16</v>
      </c>
      <c r="E16">
        <v>59909.51</v>
      </c>
      <c r="F16">
        <v>8895</v>
      </c>
      <c r="G16">
        <v>0.22800000000000001</v>
      </c>
      <c r="H16">
        <v>23</v>
      </c>
      <c r="I16">
        <v>88.8</v>
      </c>
      <c r="J16">
        <v>0.27</v>
      </c>
      <c r="K16">
        <v>0</v>
      </c>
      <c r="L16">
        <v>4.3</v>
      </c>
      <c r="M16">
        <v>746501.09</v>
      </c>
      <c r="N16">
        <v>136816.72</v>
      </c>
      <c r="O16">
        <f t="shared" si="0"/>
        <v>0</v>
      </c>
      <c r="P16">
        <f t="shared" si="1"/>
        <v>0</v>
      </c>
      <c r="Q16">
        <f t="shared" si="2"/>
        <v>1</v>
      </c>
      <c r="R16">
        <f t="shared" si="3"/>
        <v>0</v>
      </c>
      <c r="S16">
        <f t="shared" si="4"/>
        <v>0</v>
      </c>
      <c r="T16">
        <f t="shared" si="5"/>
        <v>0</v>
      </c>
    </row>
    <row r="17" spans="1:20">
      <c r="A17" t="s">
        <v>22</v>
      </c>
      <c r="B17" s="3">
        <v>45748</v>
      </c>
      <c r="C17" t="s">
        <v>15</v>
      </c>
      <c r="D17" t="s">
        <v>16</v>
      </c>
      <c r="E17">
        <v>75305.710000000006</v>
      </c>
      <c r="F17">
        <v>10940</v>
      </c>
      <c r="G17">
        <v>6.0000000000000001E-3</v>
      </c>
      <c r="H17">
        <v>26</v>
      </c>
      <c r="I17">
        <v>76.5</v>
      </c>
      <c r="J17">
        <v>1.32</v>
      </c>
      <c r="K17">
        <v>0</v>
      </c>
      <c r="L17">
        <v>4.5</v>
      </c>
      <c r="M17">
        <v>834017.02</v>
      </c>
      <c r="N17">
        <v>114745.03</v>
      </c>
      <c r="O17">
        <f t="shared" si="0"/>
        <v>0</v>
      </c>
      <c r="P17">
        <f t="shared" si="1"/>
        <v>0</v>
      </c>
      <c r="Q17">
        <f t="shared" si="2"/>
        <v>1</v>
      </c>
      <c r="R17">
        <f t="shared" si="3"/>
        <v>0</v>
      </c>
      <c r="S17">
        <f t="shared" si="4"/>
        <v>0</v>
      </c>
      <c r="T17">
        <f t="shared" si="5"/>
        <v>0</v>
      </c>
    </row>
    <row r="18" spans="1:20">
      <c r="A18" t="s">
        <v>23</v>
      </c>
      <c r="B18" s="3">
        <v>45658</v>
      </c>
      <c r="C18" t="s">
        <v>24</v>
      </c>
      <c r="D18" t="s">
        <v>16</v>
      </c>
      <c r="E18">
        <v>48804.22</v>
      </c>
      <c r="F18">
        <v>7057</v>
      </c>
      <c r="G18">
        <v>5.0000000000000001E-3</v>
      </c>
      <c r="H18">
        <v>15</v>
      </c>
      <c r="I18">
        <v>87.7</v>
      </c>
      <c r="J18">
        <v>1.22</v>
      </c>
      <c r="K18">
        <v>0</v>
      </c>
      <c r="L18">
        <v>3.7</v>
      </c>
      <c r="M18">
        <v>666152.52</v>
      </c>
      <c r="N18">
        <v>107490.58</v>
      </c>
      <c r="O18">
        <f t="shared" si="0"/>
        <v>0</v>
      </c>
      <c r="P18">
        <f t="shared" si="1"/>
        <v>1</v>
      </c>
      <c r="Q18">
        <f t="shared" si="2"/>
        <v>0</v>
      </c>
      <c r="R18">
        <f t="shared" si="3"/>
        <v>0</v>
      </c>
      <c r="S18">
        <f t="shared" si="4"/>
        <v>0</v>
      </c>
      <c r="T18">
        <f t="shared" si="5"/>
        <v>0</v>
      </c>
    </row>
    <row r="19" spans="1:20">
      <c r="A19" t="s">
        <v>23</v>
      </c>
      <c r="B19" s="3">
        <v>45689</v>
      </c>
      <c r="C19" t="s">
        <v>24</v>
      </c>
      <c r="D19" t="s">
        <v>16</v>
      </c>
      <c r="E19">
        <v>59117.9</v>
      </c>
      <c r="F19">
        <v>4263</v>
      </c>
      <c r="G19">
        <v>0.11899999999999999</v>
      </c>
      <c r="H19">
        <v>9</v>
      </c>
      <c r="I19">
        <v>87.6</v>
      </c>
      <c r="J19">
        <v>4.01</v>
      </c>
      <c r="K19">
        <v>0</v>
      </c>
      <c r="L19">
        <v>3.6</v>
      </c>
      <c r="M19">
        <v>573155.18999999994</v>
      </c>
      <c r="N19">
        <v>83680.75</v>
      </c>
      <c r="O19">
        <f t="shared" si="0"/>
        <v>0</v>
      </c>
      <c r="P19">
        <f t="shared" si="1"/>
        <v>1</v>
      </c>
      <c r="Q19">
        <f t="shared" si="2"/>
        <v>0</v>
      </c>
      <c r="R19">
        <f t="shared" si="3"/>
        <v>0</v>
      </c>
      <c r="S19">
        <f t="shared" si="4"/>
        <v>0</v>
      </c>
      <c r="T19">
        <f t="shared" si="5"/>
        <v>0</v>
      </c>
    </row>
    <row r="20" spans="1:20">
      <c r="A20" t="s">
        <v>23</v>
      </c>
      <c r="B20" s="3">
        <v>45717</v>
      </c>
      <c r="C20" t="s">
        <v>24</v>
      </c>
      <c r="D20" t="s">
        <v>16</v>
      </c>
      <c r="E20">
        <v>78831.12</v>
      </c>
      <c r="F20">
        <v>5538</v>
      </c>
      <c r="G20">
        <v>0</v>
      </c>
      <c r="H20">
        <v>15</v>
      </c>
      <c r="I20">
        <v>94.1</v>
      </c>
      <c r="J20">
        <v>0.2</v>
      </c>
      <c r="K20">
        <v>0</v>
      </c>
      <c r="L20">
        <v>3.9</v>
      </c>
      <c r="M20">
        <v>666573.19999999995</v>
      </c>
      <c r="N20">
        <v>140641.01999999999</v>
      </c>
      <c r="O20">
        <f t="shared" si="0"/>
        <v>0</v>
      </c>
      <c r="P20">
        <f t="shared" si="1"/>
        <v>1</v>
      </c>
      <c r="Q20">
        <f t="shared" si="2"/>
        <v>0</v>
      </c>
      <c r="R20">
        <f t="shared" si="3"/>
        <v>0</v>
      </c>
      <c r="S20">
        <f t="shared" si="4"/>
        <v>0</v>
      </c>
      <c r="T20">
        <f t="shared" si="5"/>
        <v>0</v>
      </c>
    </row>
    <row r="21" spans="1:20">
      <c r="A21" t="s">
        <v>23</v>
      </c>
      <c r="B21" s="3">
        <v>45748</v>
      </c>
      <c r="C21" t="s">
        <v>24</v>
      </c>
      <c r="D21" t="s">
        <v>16</v>
      </c>
      <c r="E21">
        <v>41441.93</v>
      </c>
      <c r="F21">
        <v>4865</v>
      </c>
      <c r="G21">
        <v>0.158</v>
      </c>
      <c r="H21">
        <v>16</v>
      </c>
      <c r="I21">
        <v>88.3</v>
      </c>
      <c r="J21">
        <v>0.5</v>
      </c>
      <c r="K21">
        <v>0</v>
      </c>
      <c r="L21">
        <v>4</v>
      </c>
      <c r="M21">
        <v>591619.94999999995</v>
      </c>
      <c r="N21">
        <v>99521.35</v>
      </c>
      <c r="O21">
        <f t="shared" si="0"/>
        <v>0</v>
      </c>
      <c r="P21">
        <f t="shared" si="1"/>
        <v>1</v>
      </c>
      <c r="Q21">
        <f t="shared" si="2"/>
        <v>0</v>
      </c>
      <c r="R21">
        <f t="shared" si="3"/>
        <v>0</v>
      </c>
      <c r="S21">
        <f t="shared" si="4"/>
        <v>0</v>
      </c>
      <c r="T21">
        <f t="shared" si="5"/>
        <v>0</v>
      </c>
    </row>
    <row r="22" spans="1:20">
      <c r="A22" t="s">
        <v>25</v>
      </c>
      <c r="B22" s="3">
        <v>45658</v>
      </c>
      <c r="C22" t="s">
        <v>20</v>
      </c>
      <c r="D22" t="s">
        <v>16</v>
      </c>
      <c r="E22">
        <v>30356.28</v>
      </c>
      <c r="F22">
        <v>2822</v>
      </c>
      <c r="G22">
        <v>0.23100000000000001</v>
      </c>
      <c r="H22">
        <v>9</v>
      </c>
      <c r="I22">
        <v>84.8</v>
      </c>
      <c r="J22">
        <v>6.95</v>
      </c>
      <c r="K22">
        <v>0</v>
      </c>
      <c r="L22">
        <v>5</v>
      </c>
      <c r="M22">
        <v>415721.82</v>
      </c>
      <c r="N22">
        <v>61179.15</v>
      </c>
      <c r="O22">
        <f t="shared" si="0"/>
        <v>1</v>
      </c>
      <c r="P22">
        <f t="shared" si="1"/>
        <v>0</v>
      </c>
      <c r="Q22">
        <f t="shared" si="2"/>
        <v>0</v>
      </c>
      <c r="R22">
        <f t="shared" si="3"/>
        <v>0</v>
      </c>
      <c r="S22">
        <f t="shared" si="4"/>
        <v>0</v>
      </c>
      <c r="T22">
        <f t="shared" si="5"/>
        <v>0</v>
      </c>
    </row>
    <row r="23" spans="1:20">
      <c r="A23" t="s">
        <v>25</v>
      </c>
      <c r="B23" s="3">
        <v>45689</v>
      </c>
      <c r="C23" t="s">
        <v>20</v>
      </c>
      <c r="D23" t="s">
        <v>16</v>
      </c>
      <c r="E23">
        <v>33518.879999999997</v>
      </c>
      <c r="F23">
        <v>2121</v>
      </c>
      <c r="G23">
        <v>0.17599999999999999</v>
      </c>
      <c r="H23">
        <v>8</v>
      </c>
      <c r="I23">
        <v>88.5</v>
      </c>
      <c r="J23">
        <v>0.2</v>
      </c>
      <c r="K23">
        <v>0</v>
      </c>
      <c r="L23">
        <v>5</v>
      </c>
      <c r="M23">
        <v>491905.13</v>
      </c>
      <c r="N23">
        <v>79212.259999999995</v>
      </c>
      <c r="O23">
        <f t="shared" si="0"/>
        <v>1</v>
      </c>
      <c r="P23">
        <f t="shared" si="1"/>
        <v>0</v>
      </c>
      <c r="Q23">
        <f t="shared" si="2"/>
        <v>0</v>
      </c>
      <c r="R23">
        <f t="shared" si="3"/>
        <v>0</v>
      </c>
      <c r="S23">
        <f t="shared" si="4"/>
        <v>0</v>
      </c>
      <c r="T23">
        <f t="shared" si="5"/>
        <v>0</v>
      </c>
    </row>
    <row r="24" spans="1:20">
      <c r="A24" t="s">
        <v>25</v>
      </c>
      <c r="B24" s="3">
        <v>45717</v>
      </c>
      <c r="C24" t="s">
        <v>20</v>
      </c>
      <c r="D24" t="s">
        <v>16</v>
      </c>
      <c r="E24">
        <v>42267.37</v>
      </c>
      <c r="F24">
        <v>3364</v>
      </c>
      <c r="G24">
        <v>0.16</v>
      </c>
      <c r="H24">
        <v>13</v>
      </c>
      <c r="I24">
        <v>82</v>
      </c>
      <c r="J24">
        <v>1.61</v>
      </c>
      <c r="K24">
        <v>1</v>
      </c>
      <c r="L24">
        <v>4.5999999999999996</v>
      </c>
      <c r="M24">
        <v>555929.4</v>
      </c>
      <c r="N24">
        <v>115201.76</v>
      </c>
      <c r="O24">
        <f t="shared" si="0"/>
        <v>1</v>
      </c>
      <c r="P24">
        <f t="shared" si="1"/>
        <v>0</v>
      </c>
      <c r="Q24">
        <f t="shared" si="2"/>
        <v>0</v>
      </c>
      <c r="R24">
        <f t="shared" si="3"/>
        <v>0</v>
      </c>
      <c r="S24">
        <f t="shared" si="4"/>
        <v>0</v>
      </c>
      <c r="T24">
        <f t="shared" si="5"/>
        <v>0</v>
      </c>
    </row>
    <row r="25" spans="1:20">
      <c r="A25" t="s">
        <v>25</v>
      </c>
      <c r="B25" s="3">
        <v>45748</v>
      </c>
      <c r="C25" t="s">
        <v>20</v>
      </c>
      <c r="D25" t="s">
        <v>16</v>
      </c>
      <c r="E25">
        <v>62060.43</v>
      </c>
      <c r="F25">
        <v>2613</v>
      </c>
      <c r="G25">
        <v>0.216</v>
      </c>
      <c r="H25">
        <v>12</v>
      </c>
      <c r="I25">
        <v>92.1</v>
      </c>
      <c r="J25">
        <v>1.55</v>
      </c>
      <c r="K25">
        <v>0</v>
      </c>
      <c r="L25">
        <v>4.7</v>
      </c>
      <c r="M25">
        <v>565810.99</v>
      </c>
      <c r="N25">
        <v>77825.460000000006</v>
      </c>
      <c r="O25">
        <f t="shared" si="0"/>
        <v>1</v>
      </c>
      <c r="P25">
        <f t="shared" si="1"/>
        <v>0</v>
      </c>
      <c r="Q25">
        <f t="shared" si="2"/>
        <v>0</v>
      </c>
      <c r="R25">
        <f t="shared" si="3"/>
        <v>0</v>
      </c>
      <c r="S25">
        <f t="shared" si="4"/>
        <v>0</v>
      </c>
      <c r="T25">
        <f t="shared" si="5"/>
        <v>0</v>
      </c>
    </row>
    <row r="26" spans="1:20">
      <c r="A26" t="s">
        <v>26</v>
      </c>
      <c r="B26" s="3">
        <v>45658</v>
      </c>
      <c r="C26" t="s">
        <v>27</v>
      </c>
      <c r="D26" t="s">
        <v>28</v>
      </c>
      <c r="E26">
        <v>57696.69</v>
      </c>
      <c r="F26">
        <v>10218</v>
      </c>
      <c r="G26">
        <v>0.121</v>
      </c>
      <c r="H26">
        <v>25</v>
      </c>
      <c r="I26">
        <v>94.8</v>
      </c>
      <c r="J26">
        <v>2.99</v>
      </c>
      <c r="K26">
        <v>0</v>
      </c>
      <c r="L26">
        <v>3.5</v>
      </c>
      <c r="M26">
        <v>811771.14</v>
      </c>
      <c r="N26">
        <v>148756.24</v>
      </c>
      <c r="O26">
        <f t="shared" si="0"/>
        <v>0</v>
      </c>
      <c r="P26">
        <f t="shared" si="1"/>
        <v>0</v>
      </c>
      <c r="Q26">
        <f t="shared" si="2"/>
        <v>0</v>
      </c>
      <c r="R26">
        <f t="shared" si="3"/>
        <v>0</v>
      </c>
      <c r="S26">
        <f t="shared" si="4"/>
        <v>0</v>
      </c>
      <c r="T26">
        <f t="shared" si="5"/>
        <v>1</v>
      </c>
    </row>
    <row r="27" spans="1:20">
      <c r="A27" t="s">
        <v>26</v>
      </c>
      <c r="B27" s="3">
        <v>45689</v>
      </c>
      <c r="C27" t="s">
        <v>27</v>
      </c>
      <c r="D27" t="s">
        <v>28</v>
      </c>
      <c r="E27">
        <v>172415.52</v>
      </c>
      <c r="F27">
        <v>8927</v>
      </c>
      <c r="G27">
        <v>0.14000000000000001</v>
      </c>
      <c r="H27">
        <v>22</v>
      </c>
      <c r="I27">
        <v>86.2</v>
      </c>
      <c r="J27">
        <v>7.04</v>
      </c>
      <c r="K27">
        <v>0</v>
      </c>
      <c r="L27">
        <v>3.9</v>
      </c>
      <c r="M27">
        <v>800451.94</v>
      </c>
      <c r="N27">
        <v>111572.29</v>
      </c>
      <c r="O27">
        <f t="shared" si="0"/>
        <v>0</v>
      </c>
      <c r="P27">
        <f t="shared" si="1"/>
        <v>0</v>
      </c>
      <c r="Q27">
        <f t="shared" si="2"/>
        <v>0</v>
      </c>
      <c r="R27">
        <f t="shared" si="3"/>
        <v>0</v>
      </c>
      <c r="S27">
        <f t="shared" si="4"/>
        <v>0</v>
      </c>
      <c r="T27">
        <f t="shared" si="5"/>
        <v>1</v>
      </c>
    </row>
    <row r="28" spans="1:20">
      <c r="A28" t="s">
        <v>26</v>
      </c>
      <c r="B28" s="3">
        <v>45717</v>
      </c>
      <c r="C28" t="s">
        <v>27</v>
      </c>
      <c r="D28" t="s">
        <v>28</v>
      </c>
      <c r="E28">
        <v>55270.52</v>
      </c>
      <c r="F28">
        <v>9315</v>
      </c>
      <c r="G28">
        <v>0.16900000000000001</v>
      </c>
      <c r="H28">
        <v>23</v>
      </c>
      <c r="I28">
        <v>91.9</v>
      </c>
      <c r="J28">
        <v>4.9400000000000004</v>
      </c>
      <c r="K28">
        <v>0</v>
      </c>
      <c r="L28">
        <v>4</v>
      </c>
      <c r="M28">
        <v>783672.82</v>
      </c>
      <c r="N28">
        <v>112577.14</v>
      </c>
      <c r="O28">
        <f t="shared" si="0"/>
        <v>0</v>
      </c>
      <c r="P28">
        <f t="shared" si="1"/>
        <v>0</v>
      </c>
      <c r="Q28">
        <f t="shared" si="2"/>
        <v>0</v>
      </c>
      <c r="R28">
        <f t="shared" si="3"/>
        <v>0</v>
      </c>
      <c r="S28">
        <f t="shared" si="4"/>
        <v>0</v>
      </c>
      <c r="T28">
        <f t="shared" si="5"/>
        <v>1</v>
      </c>
    </row>
    <row r="29" spans="1:20">
      <c r="A29" t="s">
        <v>26</v>
      </c>
      <c r="B29" s="3">
        <v>45748</v>
      </c>
      <c r="C29" t="s">
        <v>27</v>
      </c>
      <c r="D29" t="s">
        <v>28</v>
      </c>
      <c r="E29">
        <v>52715.1</v>
      </c>
      <c r="F29">
        <v>7223</v>
      </c>
      <c r="G29">
        <v>0.122</v>
      </c>
      <c r="H29">
        <v>16</v>
      </c>
      <c r="I29">
        <v>84.2</v>
      </c>
      <c r="J29">
        <v>16.149999999999999</v>
      </c>
      <c r="K29">
        <v>0</v>
      </c>
      <c r="L29">
        <v>3.7</v>
      </c>
      <c r="M29">
        <v>701641.97</v>
      </c>
      <c r="N29">
        <v>106111.86</v>
      </c>
      <c r="O29">
        <f t="shared" si="0"/>
        <v>0</v>
      </c>
      <c r="P29">
        <f t="shared" si="1"/>
        <v>0</v>
      </c>
      <c r="Q29">
        <f t="shared" si="2"/>
        <v>0</v>
      </c>
      <c r="R29">
        <f t="shared" si="3"/>
        <v>0</v>
      </c>
      <c r="S29">
        <f t="shared" si="4"/>
        <v>0</v>
      </c>
      <c r="T29">
        <f t="shared" si="5"/>
        <v>1</v>
      </c>
    </row>
    <row r="30" spans="1:20">
      <c r="A30" t="s">
        <v>29</v>
      </c>
      <c r="B30" s="3">
        <v>45658</v>
      </c>
      <c r="C30" t="s">
        <v>15</v>
      </c>
      <c r="D30" t="s">
        <v>16</v>
      </c>
      <c r="E30">
        <v>68600.62</v>
      </c>
      <c r="F30">
        <v>3988</v>
      </c>
      <c r="G30">
        <v>0.124</v>
      </c>
      <c r="H30">
        <v>11</v>
      </c>
      <c r="I30">
        <v>85</v>
      </c>
      <c r="J30">
        <v>0.48</v>
      </c>
      <c r="K30">
        <v>0</v>
      </c>
      <c r="L30">
        <v>3.6</v>
      </c>
      <c r="M30">
        <v>511844.41</v>
      </c>
      <c r="N30">
        <v>72774.44</v>
      </c>
      <c r="O30">
        <f t="shared" si="0"/>
        <v>0</v>
      </c>
      <c r="P30">
        <f t="shared" si="1"/>
        <v>0</v>
      </c>
      <c r="Q30">
        <f t="shared" si="2"/>
        <v>1</v>
      </c>
      <c r="R30">
        <f t="shared" si="3"/>
        <v>0</v>
      </c>
      <c r="S30">
        <f t="shared" si="4"/>
        <v>0</v>
      </c>
      <c r="T30">
        <f t="shared" si="5"/>
        <v>0</v>
      </c>
    </row>
    <row r="31" spans="1:20">
      <c r="A31" t="s">
        <v>29</v>
      </c>
      <c r="B31" s="3">
        <v>45689</v>
      </c>
      <c r="C31" t="s">
        <v>15</v>
      </c>
      <c r="D31" t="s">
        <v>16</v>
      </c>
      <c r="E31">
        <v>63176.73</v>
      </c>
      <c r="F31">
        <v>2390</v>
      </c>
      <c r="G31">
        <v>0.216</v>
      </c>
      <c r="H31">
        <v>9</v>
      </c>
      <c r="I31">
        <v>87.5</v>
      </c>
      <c r="J31">
        <v>0.31</v>
      </c>
      <c r="K31">
        <v>0</v>
      </c>
      <c r="L31">
        <v>3.1</v>
      </c>
      <c r="M31">
        <v>537383.79</v>
      </c>
      <c r="N31">
        <v>63773.27</v>
      </c>
      <c r="O31">
        <f t="shared" si="0"/>
        <v>0</v>
      </c>
      <c r="P31">
        <f t="shared" si="1"/>
        <v>0</v>
      </c>
      <c r="Q31">
        <f t="shared" si="2"/>
        <v>1</v>
      </c>
      <c r="R31">
        <f t="shared" si="3"/>
        <v>0</v>
      </c>
      <c r="S31">
        <f t="shared" si="4"/>
        <v>0</v>
      </c>
      <c r="T31">
        <f t="shared" si="5"/>
        <v>0</v>
      </c>
    </row>
    <row r="32" spans="1:20">
      <c r="A32" t="s">
        <v>29</v>
      </c>
      <c r="B32" s="3">
        <v>45717</v>
      </c>
      <c r="C32" t="s">
        <v>15</v>
      </c>
      <c r="D32" t="s">
        <v>16</v>
      </c>
      <c r="E32">
        <v>44970.080000000002</v>
      </c>
      <c r="F32">
        <v>2471</v>
      </c>
      <c r="G32">
        <v>0.13600000000000001</v>
      </c>
      <c r="H32">
        <v>11</v>
      </c>
      <c r="I32">
        <v>87.6</v>
      </c>
      <c r="J32">
        <v>3.01</v>
      </c>
      <c r="K32">
        <v>1</v>
      </c>
      <c r="L32">
        <v>3.7</v>
      </c>
      <c r="M32">
        <v>500173.02</v>
      </c>
      <c r="N32">
        <v>70982.05</v>
      </c>
      <c r="O32">
        <f t="shared" si="0"/>
        <v>0</v>
      </c>
      <c r="P32">
        <f t="shared" si="1"/>
        <v>0</v>
      </c>
      <c r="Q32">
        <f t="shared" si="2"/>
        <v>1</v>
      </c>
      <c r="R32">
        <f t="shared" si="3"/>
        <v>0</v>
      </c>
      <c r="S32">
        <f t="shared" si="4"/>
        <v>0</v>
      </c>
      <c r="T32">
        <f t="shared" si="5"/>
        <v>0</v>
      </c>
    </row>
    <row r="33" spans="1:20">
      <c r="A33" t="s">
        <v>29</v>
      </c>
      <c r="B33" s="3">
        <v>45748</v>
      </c>
      <c r="C33" t="s">
        <v>15</v>
      </c>
      <c r="D33" t="s">
        <v>16</v>
      </c>
      <c r="E33">
        <v>69816.350000000006</v>
      </c>
      <c r="F33">
        <v>971</v>
      </c>
      <c r="G33">
        <v>0.16800000000000001</v>
      </c>
      <c r="H33">
        <v>5</v>
      </c>
      <c r="I33">
        <v>89.9</v>
      </c>
      <c r="J33">
        <v>12.15</v>
      </c>
      <c r="K33">
        <v>0</v>
      </c>
      <c r="L33">
        <v>3.6</v>
      </c>
      <c r="M33">
        <v>427917.38</v>
      </c>
      <c r="N33">
        <v>81824.31</v>
      </c>
      <c r="O33">
        <f t="shared" si="0"/>
        <v>0</v>
      </c>
      <c r="P33">
        <f t="shared" si="1"/>
        <v>0</v>
      </c>
      <c r="Q33">
        <f t="shared" si="2"/>
        <v>1</v>
      </c>
      <c r="R33">
        <f t="shared" si="3"/>
        <v>0</v>
      </c>
      <c r="S33">
        <f t="shared" si="4"/>
        <v>0</v>
      </c>
      <c r="T33">
        <f t="shared" si="5"/>
        <v>0</v>
      </c>
    </row>
    <row r="34" spans="1:20">
      <c r="A34" t="s">
        <v>30</v>
      </c>
      <c r="B34" s="3">
        <v>45658</v>
      </c>
      <c r="C34" t="s">
        <v>20</v>
      </c>
      <c r="D34" t="s">
        <v>16</v>
      </c>
      <c r="E34">
        <v>54597.83</v>
      </c>
      <c r="F34">
        <v>9429</v>
      </c>
      <c r="G34">
        <v>0.188</v>
      </c>
      <c r="H34">
        <v>21</v>
      </c>
      <c r="I34">
        <v>83.3</v>
      </c>
      <c r="J34">
        <v>11.71</v>
      </c>
      <c r="K34">
        <v>0</v>
      </c>
      <c r="L34">
        <v>4.2</v>
      </c>
      <c r="M34">
        <v>641865.03</v>
      </c>
      <c r="N34">
        <v>81342.58</v>
      </c>
      <c r="O34">
        <f t="shared" si="0"/>
        <v>1</v>
      </c>
      <c r="P34">
        <f t="shared" si="1"/>
        <v>0</v>
      </c>
      <c r="Q34">
        <f t="shared" si="2"/>
        <v>0</v>
      </c>
      <c r="R34">
        <f t="shared" si="3"/>
        <v>0</v>
      </c>
      <c r="S34">
        <f t="shared" si="4"/>
        <v>0</v>
      </c>
      <c r="T34">
        <f t="shared" si="5"/>
        <v>0</v>
      </c>
    </row>
    <row r="35" spans="1:20">
      <c r="A35" t="s">
        <v>30</v>
      </c>
      <c r="B35" s="3">
        <v>45689</v>
      </c>
      <c r="C35" t="s">
        <v>20</v>
      </c>
      <c r="D35" t="s">
        <v>16</v>
      </c>
      <c r="E35">
        <v>73771.91</v>
      </c>
      <c r="F35">
        <v>11695</v>
      </c>
      <c r="G35">
        <v>7.0000000000000007E-2</v>
      </c>
      <c r="H35">
        <v>25</v>
      </c>
      <c r="I35">
        <v>84.7</v>
      </c>
      <c r="J35">
        <v>0.62</v>
      </c>
      <c r="K35">
        <v>0</v>
      </c>
      <c r="L35" s="6">
        <v>3.92</v>
      </c>
      <c r="M35">
        <v>799477.76000000001</v>
      </c>
      <c r="N35">
        <v>164974.41</v>
      </c>
      <c r="O35">
        <f t="shared" si="0"/>
        <v>1</v>
      </c>
      <c r="P35">
        <f t="shared" si="1"/>
        <v>0</v>
      </c>
      <c r="Q35">
        <f t="shared" si="2"/>
        <v>0</v>
      </c>
      <c r="R35">
        <f t="shared" si="3"/>
        <v>0</v>
      </c>
      <c r="S35">
        <f t="shared" si="4"/>
        <v>0</v>
      </c>
      <c r="T35">
        <f t="shared" si="5"/>
        <v>0</v>
      </c>
    </row>
    <row r="36" spans="1:20">
      <c r="A36" t="s">
        <v>30</v>
      </c>
      <c r="B36" s="3">
        <v>45717</v>
      </c>
      <c r="C36" t="s">
        <v>20</v>
      </c>
      <c r="D36" t="s">
        <v>16</v>
      </c>
      <c r="E36">
        <v>74413.88</v>
      </c>
      <c r="F36">
        <v>9449</v>
      </c>
      <c r="G36">
        <v>3.9E-2</v>
      </c>
      <c r="H36">
        <v>23</v>
      </c>
      <c r="I36">
        <v>92.1</v>
      </c>
      <c r="J36">
        <v>2.12</v>
      </c>
      <c r="K36">
        <v>0</v>
      </c>
      <c r="L36">
        <v>3.5</v>
      </c>
      <c r="M36">
        <v>798952.17</v>
      </c>
      <c r="N36">
        <v>161499.04</v>
      </c>
      <c r="O36">
        <f t="shared" si="0"/>
        <v>1</v>
      </c>
      <c r="P36">
        <f t="shared" si="1"/>
        <v>0</v>
      </c>
      <c r="Q36">
        <f t="shared" si="2"/>
        <v>0</v>
      </c>
      <c r="R36">
        <f t="shared" si="3"/>
        <v>0</v>
      </c>
      <c r="S36">
        <f t="shared" si="4"/>
        <v>0</v>
      </c>
      <c r="T36">
        <f t="shared" si="5"/>
        <v>0</v>
      </c>
    </row>
    <row r="37" spans="1:20">
      <c r="A37" t="s">
        <v>30</v>
      </c>
      <c r="B37" s="3">
        <v>45748</v>
      </c>
      <c r="C37" t="s">
        <v>20</v>
      </c>
      <c r="D37" t="s">
        <v>16</v>
      </c>
      <c r="E37">
        <v>52483.77</v>
      </c>
      <c r="F37">
        <v>10453</v>
      </c>
      <c r="G37">
        <v>0.247</v>
      </c>
      <c r="H37">
        <v>25</v>
      </c>
      <c r="I37">
        <v>99</v>
      </c>
      <c r="J37">
        <v>6.31</v>
      </c>
      <c r="K37">
        <v>0</v>
      </c>
      <c r="L37">
        <v>3.6</v>
      </c>
      <c r="M37">
        <v>800979.78</v>
      </c>
      <c r="N37">
        <v>149242.26999999999</v>
      </c>
      <c r="O37">
        <f t="shared" si="0"/>
        <v>1</v>
      </c>
      <c r="P37">
        <f t="shared" si="1"/>
        <v>0</v>
      </c>
      <c r="Q37">
        <f t="shared" si="2"/>
        <v>0</v>
      </c>
      <c r="R37">
        <f t="shared" si="3"/>
        <v>0</v>
      </c>
      <c r="S37">
        <f t="shared" si="4"/>
        <v>0</v>
      </c>
      <c r="T37">
        <f t="shared" si="5"/>
        <v>0</v>
      </c>
    </row>
    <row r="38" spans="1:20">
      <c r="A38" t="s">
        <v>31</v>
      </c>
      <c r="B38" s="3">
        <v>45658</v>
      </c>
      <c r="C38" t="s">
        <v>20</v>
      </c>
      <c r="D38" t="s">
        <v>28</v>
      </c>
      <c r="E38">
        <v>75269.87</v>
      </c>
      <c r="F38">
        <v>8838</v>
      </c>
      <c r="G38">
        <v>9.1999999999999998E-2</v>
      </c>
      <c r="H38">
        <v>21</v>
      </c>
      <c r="I38">
        <v>83.1</v>
      </c>
      <c r="J38">
        <v>9.56</v>
      </c>
      <c r="K38">
        <v>1</v>
      </c>
      <c r="L38">
        <v>4.2</v>
      </c>
      <c r="M38">
        <v>820593.93</v>
      </c>
      <c r="N38">
        <v>115860.06</v>
      </c>
      <c r="O38">
        <f t="shared" si="0"/>
        <v>1</v>
      </c>
      <c r="P38">
        <f t="shared" si="1"/>
        <v>0</v>
      </c>
      <c r="Q38">
        <f t="shared" si="2"/>
        <v>0</v>
      </c>
      <c r="R38">
        <f t="shared" si="3"/>
        <v>0</v>
      </c>
      <c r="S38">
        <f t="shared" si="4"/>
        <v>0</v>
      </c>
      <c r="T38">
        <f t="shared" si="5"/>
        <v>1</v>
      </c>
    </row>
    <row r="39" spans="1:20">
      <c r="A39" t="s">
        <v>31</v>
      </c>
      <c r="B39" s="3">
        <v>45689</v>
      </c>
      <c r="C39" t="s">
        <v>20</v>
      </c>
      <c r="D39" t="s">
        <v>28</v>
      </c>
      <c r="E39">
        <v>61245.41</v>
      </c>
      <c r="F39">
        <v>8156</v>
      </c>
      <c r="G39">
        <v>0.156</v>
      </c>
      <c r="H39">
        <v>19</v>
      </c>
      <c r="I39">
        <v>92.9</v>
      </c>
      <c r="J39">
        <v>9.0500000000000007</v>
      </c>
      <c r="K39">
        <v>0</v>
      </c>
      <c r="L39">
        <v>3.8</v>
      </c>
      <c r="M39">
        <v>718330.53</v>
      </c>
      <c r="N39">
        <v>93247.9</v>
      </c>
      <c r="O39">
        <f t="shared" si="0"/>
        <v>1</v>
      </c>
      <c r="P39">
        <f t="shared" si="1"/>
        <v>0</v>
      </c>
      <c r="Q39">
        <f t="shared" si="2"/>
        <v>0</v>
      </c>
      <c r="R39">
        <f t="shared" si="3"/>
        <v>0</v>
      </c>
      <c r="S39">
        <f t="shared" si="4"/>
        <v>0</v>
      </c>
      <c r="T39">
        <f t="shared" si="5"/>
        <v>1</v>
      </c>
    </row>
    <row r="40" spans="1:20">
      <c r="A40" t="s">
        <v>31</v>
      </c>
      <c r="B40" s="3">
        <v>45717</v>
      </c>
      <c r="C40" t="s">
        <v>20</v>
      </c>
      <c r="D40" t="s">
        <v>28</v>
      </c>
      <c r="E40">
        <v>93381.26</v>
      </c>
      <c r="F40">
        <v>7562</v>
      </c>
      <c r="G40">
        <v>0.19800000000000001</v>
      </c>
      <c r="H40">
        <v>19</v>
      </c>
      <c r="I40">
        <v>82.9</v>
      </c>
      <c r="J40">
        <v>5.05</v>
      </c>
      <c r="K40">
        <v>0</v>
      </c>
      <c r="L40">
        <v>4</v>
      </c>
      <c r="M40">
        <v>736633.4</v>
      </c>
      <c r="N40">
        <v>115654.66</v>
      </c>
      <c r="O40">
        <f t="shared" si="0"/>
        <v>1</v>
      </c>
      <c r="P40">
        <f t="shared" si="1"/>
        <v>0</v>
      </c>
      <c r="Q40">
        <f t="shared" si="2"/>
        <v>0</v>
      </c>
      <c r="R40">
        <f t="shared" si="3"/>
        <v>0</v>
      </c>
      <c r="S40">
        <f t="shared" si="4"/>
        <v>0</v>
      </c>
      <c r="T40">
        <f t="shared" si="5"/>
        <v>1</v>
      </c>
    </row>
    <row r="41" spans="1:20">
      <c r="A41" t="s">
        <v>31</v>
      </c>
      <c r="B41" s="3">
        <v>45748</v>
      </c>
      <c r="C41" t="s">
        <v>20</v>
      </c>
      <c r="D41" t="s">
        <v>28</v>
      </c>
      <c r="E41">
        <v>65012.19</v>
      </c>
      <c r="F41">
        <v>9598</v>
      </c>
      <c r="G41">
        <v>8.5000000000000006E-2</v>
      </c>
      <c r="H41">
        <v>24</v>
      </c>
      <c r="I41">
        <v>98.3</v>
      </c>
      <c r="J41">
        <v>0.89</v>
      </c>
      <c r="K41">
        <v>0</v>
      </c>
      <c r="L41">
        <v>3.8</v>
      </c>
      <c r="M41">
        <v>828623.85</v>
      </c>
      <c r="N41">
        <v>167320.51999999999</v>
      </c>
      <c r="O41">
        <f t="shared" si="0"/>
        <v>1</v>
      </c>
      <c r="P41">
        <f t="shared" si="1"/>
        <v>0</v>
      </c>
      <c r="Q41">
        <f t="shared" si="2"/>
        <v>0</v>
      </c>
      <c r="R41">
        <f t="shared" si="3"/>
        <v>0</v>
      </c>
      <c r="S41">
        <f t="shared" si="4"/>
        <v>0</v>
      </c>
      <c r="T41">
        <f t="shared" si="5"/>
        <v>1</v>
      </c>
    </row>
    <row r="42" spans="1:20">
      <c r="A42" t="s">
        <v>32</v>
      </c>
      <c r="B42" s="3">
        <v>45658</v>
      </c>
      <c r="C42" t="s">
        <v>15</v>
      </c>
      <c r="D42" t="s">
        <v>28</v>
      </c>
      <c r="E42">
        <v>40462.94</v>
      </c>
      <c r="F42">
        <v>3660</v>
      </c>
      <c r="G42">
        <v>0.218</v>
      </c>
      <c r="H42">
        <v>11</v>
      </c>
      <c r="I42">
        <v>95.2</v>
      </c>
      <c r="J42">
        <v>5.57</v>
      </c>
      <c r="K42">
        <v>0</v>
      </c>
      <c r="L42">
        <v>4.4000000000000004</v>
      </c>
      <c r="M42">
        <v>592195.85</v>
      </c>
      <c r="N42">
        <v>92291.56</v>
      </c>
      <c r="O42">
        <f t="shared" si="0"/>
        <v>0</v>
      </c>
      <c r="P42">
        <f t="shared" si="1"/>
        <v>0</v>
      </c>
      <c r="Q42">
        <f t="shared" si="2"/>
        <v>1</v>
      </c>
      <c r="R42">
        <f t="shared" si="3"/>
        <v>0</v>
      </c>
      <c r="S42">
        <f t="shared" si="4"/>
        <v>0</v>
      </c>
      <c r="T42">
        <f t="shared" si="5"/>
        <v>1</v>
      </c>
    </row>
    <row r="43" spans="1:20">
      <c r="A43" t="s">
        <v>32</v>
      </c>
      <c r="B43" s="3">
        <v>45689</v>
      </c>
      <c r="C43" t="s">
        <v>15</v>
      </c>
      <c r="D43" t="s">
        <v>28</v>
      </c>
      <c r="E43">
        <v>46123.88</v>
      </c>
      <c r="F43">
        <v>3227</v>
      </c>
      <c r="G43">
        <v>0.14299999999999999</v>
      </c>
      <c r="H43">
        <v>10</v>
      </c>
      <c r="I43">
        <v>75.400000000000006</v>
      </c>
      <c r="J43">
        <v>1.06</v>
      </c>
      <c r="K43">
        <v>0</v>
      </c>
      <c r="L43">
        <v>4.4000000000000004</v>
      </c>
      <c r="M43">
        <v>532644.46</v>
      </c>
      <c r="N43">
        <v>60681.32</v>
      </c>
      <c r="O43">
        <f t="shared" si="0"/>
        <v>0</v>
      </c>
      <c r="P43">
        <f t="shared" si="1"/>
        <v>0</v>
      </c>
      <c r="Q43">
        <f t="shared" si="2"/>
        <v>1</v>
      </c>
      <c r="R43">
        <f t="shared" si="3"/>
        <v>0</v>
      </c>
      <c r="S43">
        <f t="shared" si="4"/>
        <v>0</v>
      </c>
      <c r="T43">
        <f t="shared" si="5"/>
        <v>1</v>
      </c>
    </row>
    <row r="44" spans="1:20">
      <c r="A44" t="s">
        <v>32</v>
      </c>
      <c r="B44" s="3">
        <v>45717</v>
      </c>
      <c r="C44" t="s">
        <v>15</v>
      </c>
      <c r="D44" t="s">
        <v>28</v>
      </c>
      <c r="E44">
        <v>68077.539999999994</v>
      </c>
      <c r="F44">
        <v>3360</v>
      </c>
      <c r="G44">
        <v>0.128</v>
      </c>
      <c r="H44">
        <v>14</v>
      </c>
      <c r="I44">
        <v>88.2</v>
      </c>
      <c r="J44">
        <v>1.24</v>
      </c>
      <c r="K44">
        <v>1</v>
      </c>
      <c r="L44">
        <v>4</v>
      </c>
      <c r="M44">
        <v>657429.18000000005</v>
      </c>
      <c r="N44">
        <v>88919.74</v>
      </c>
      <c r="O44">
        <f t="shared" si="0"/>
        <v>0</v>
      </c>
      <c r="P44">
        <f t="shared" si="1"/>
        <v>0</v>
      </c>
      <c r="Q44">
        <f t="shared" si="2"/>
        <v>1</v>
      </c>
      <c r="R44">
        <f t="shared" si="3"/>
        <v>0</v>
      </c>
      <c r="S44">
        <f t="shared" si="4"/>
        <v>0</v>
      </c>
      <c r="T44">
        <f t="shared" si="5"/>
        <v>1</v>
      </c>
    </row>
    <row r="45" spans="1:20">
      <c r="A45" t="s">
        <v>32</v>
      </c>
      <c r="B45" s="3">
        <v>45748</v>
      </c>
      <c r="C45" t="s">
        <v>15</v>
      </c>
      <c r="D45" t="s">
        <v>28</v>
      </c>
      <c r="E45">
        <v>64882.14</v>
      </c>
      <c r="F45">
        <v>3642</v>
      </c>
      <c r="G45">
        <v>1.9E-2</v>
      </c>
      <c r="H45">
        <v>13</v>
      </c>
      <c r="I45">
        <v>87.8</v>
      </c>
      <c r="J45">
        <v>4.5199999999999996</v>
      </c>
      <c r="K45">
        <v>0</v>
      </c>
      <c r="L45">
        <v>4.2</v>
      </c>
      <c r="M45">
        <v>605178</v>
      </c>
      <c r="N45">
        <v>106958.74</v>
      </c>
      <c r="O45">
        <f t="shared" si="0"/>
        <v>0</v>
      </c>
      <c r="P45">
        <f t="shared" si="1"/>
        <v>0</v>
      </c>
      <c r="Q45">
        <f t="shared" si="2"/>
        <v>1</v>
      </c>
      <c r="R45">
        <f t="shared" si="3"/>
        <v>0</v>
      </c>
      <c r="S45">
        <f t="shared" si="4"/>
        <v>0</v>
      </c>
      <c r="T45">
        <f t="shared" si="5"/>
        <v>1</v>
      </c>
    </row>
    <row r="46" spans="1:20">
      <c r="A46" t="s">
        <v>33</v>
      </c>
      <c r="B46" s="3">
        <v>45658</v>
      </c>
      <c r="C46" t="s">
        <v>27</v>
      </c>
      <c r="D46" t="s">
        <v>16</v>
      </c>
      <c r="E46">
        <v>138855.51</v>
      </c>
      <c r="F46">
        <v>5145</v>
      </c>
      <c r="G46">
        <v>0.06</v>
      </c>
      <c r="H46">
        <v>17</v>
      </c>
      <c r="I46">
        <v>88.2</v>
      </c>
      <c r="J46">
        <v>9.58</v>
      </c>
      <c r="K46">
        <v>0</v>
      </c>
      <c r="L46">
        <v>3.2</v>
      </c>
      <c r="M46">
        <v>595467.6</v>
      </c>
      <c r="N46">
        <v>104276.46</v>
      </c>
      <c r="O46">
        <f t="shared" si="0"/>
        <v>0</v>
      </c>
      <c r="P46">
        <f t="shared" si="1"/>
        <v>0</v>
      </c>
      <c r="Q46">
        <f t="shared" si="2"/>
        <v>0</v>
      </c>
      <c r="R46">
        <f t="shared" si="3"/>
        <v>0</v>
      </c>
      <c r="S46">
        <f t="shared" si="4"/>
        <v>0</v>
      </c>
      <c r="T46">
        <f t="shared" si="5"/>
        <v>0</v>
      </c>
    </row>
    <row r="47" spans="1:20">
      <c r="A47" t="s">
        <v>33</v>
      </c>
      <c r="B47" s="3">
        <v>45689</v>
      </c>
      <c r="C47" t="s">
        <v>27</v>
      </c>
      <c r="D47" t="s">
        <v>16</v>
      </c>
      <c r="E47">
        <v>63630.21</v>
      </c>
      <c r="F47">
        <v>4460</v>
      </c>
      <c r="G47">
        <v>0.23499999999999999</v>
      </c>
      <c r="H47">
        <v>14</v>
      </c>
      <c r="I47">
        <v>98.6</v>
      </c>
      <c r="J47">
        <v>5.52</v>
      </c>
      <c r="K47">
        <v>0</v>
      </c>
      <c r="L47">
        <v>3.5</v>
      </c>
      <c r="M47">
        <v>599603.4</v>
      </c>
      <c r="N47">
        <v>112685.12</v>
      </c>
      <c r="O47">
        <f t="shared" si="0"/>
        <v>0</v>
      </c>
      <c r="P47">
        <f t="shared" si="1"/>
        <v>0</v>
      </c>
      <c r="Q47">
        <f t="shared" si="2"/>
        <v>0</v>
      </c>
      <c r="R47">
        <f t="shared" si="3"/>
        <v>0</v>
      </c>
      <c r="S47">
        <f t="shared" si="4"/>
        <v>0</v>
      </c>
      <c r="T47">
        <f t="shared" si="5"/>
        <v>0</v>
      </c>
    </row>
    <row r="48" spans="1:20">
      <c r="A48" t="s">
        <v>33</v>
      </c>
      <c r="B48" s="3">
        <v>45717</v>
      </c>
      <c r="C48" t="s">
        <v>27</v>
      </c>
      <c r="D48" t="s">
        <v>16</v>
      </c>
      <c r="E48">
        <v>50043.65</v>
      </c>
      <c r="F48">
        <v>3804</v>
      </c>
      <c r="G48">
        <v>0.113</v>
      </c>
      <c r="H48">
        <v>11</v>
      </c>
      <c r="I48">
        <v>90.9</v>
      </c>
      <c r="J48">
        <v>2.7</v>
      </c>
      <c r="K48">
        <v>1</v>
      </c>
      <c r="L48">
        <v>3.2</v>
      </c>
      <c r="M48">
        <v>614800.09</v>
      </c>
      <c r="N48">
        <v>100044.2</v>
      </c>
      <c r="O48">
        <f t="shared" si="0"/>
        <v>0</v>
      </c>
      <c r="P48">
        <f t="shared" si="1"/>
        <v>0</v>
      </c>
      <c r="Q48">
        <f t="shared" si="2"/>
        <v>0</v>
      </c>
      <c r="R48">
        <f t="shared" si="3"/>
        <v>0</v>
      </c>
      <c r="S48">
        <f t="shared" si="4"/>
        <v>0</v>
      </c>
      <c r="T48">
        <f t="shared" si="5"/>
        <v>0</v>
      </c>
    </row>
    <row r="49" spans="1:20">
      <c r="A49" t="s">
        <v>33</v>
      </c>
      <c r="B49" s="3">
        <v>45748</v>
      </c>
      <c r="C49" t="s">
        <v>27</v>
      </c>
      <c r="D49" t="s">
        <v>16</v>
      </c>
      <c r="E49">
        <v>42093.84</v>
      </c>
      <c r="F49">
        <v>4074</v>
      </c>
      <c r="G49">
        <v>0.155</v>
      </c>
      <c r="H49">
        <v>15</v>
      </c>
      <c r="I49">
        <v>88</v>
      </c>
      <c r="J49">
        <v>9.64</v>
      </c>
      <c r="K49">
        <v>0</v>
      </c>
      <c r="L49">
        <v>3.3</v>
      </c>
      <c r="M49">
        <v>585365.73</v>
      </c>
      <c r="N49">
        <v>81011.520000000004</v>
      </c>
      <c r="O49">
        <f t="shared" si="0"/>
        <v>0</v>
      </c>
      <c r="P49">
        <f t="shared" si="1"/>
        <v>0</v>
      </c>
      <c r="Q49">
        <f t="shared" si="2"/>
        <v>0</v>
      </c>
      <c r="R49">
        <f t="shared" si="3"/>
        <v>0</v>
      </c>
      <c r="S49">
        <f t="shared" si="4"/>
        <v>0</v>
      </c>
      <c r="T49">
        <f t="shared" si="5"/>
        <v>0</v>
      </c>
    </row>
    <row r="50" spans="1:20">
      <c r="A50" t="s">
        <v>34</v>
      </c>
      <c r="B50" s="3">
        <v>45658</v>
      </c>
      <c r="C50" t="s">
        <v>20</v>
      </c>
      <c r="D50" t="s">
        <v>28</v>
      </c>
      <c r="E50">
        <v>46624.05</v>
      </c>
      <c r="F50">
        <v>5104</v>
      </c>
      <c r="G50">
        <v>0.109</v>
      </c>
      <c r="H50">
        <v>11</v>
      </c>
      <c r="I50">
        <v>97.3</v>
      </c>
      <c r="J50">
        <v>3.49</v>
      </c>
      <c r="K50">
        <v>1</v>
      </c>
      <c r="L50">
        <v>4.7</v>
      </c>
      <c r="M50">
        <v>622811.74</v>
      </c>
      <c r="N50">
        <v>109978.35</v>
      </c>
      <c r="O50">
        <f t="shared" si="0"/>
        <v>1</v>
      </c>
      <c r="P50">
        <f t="shared" si="1"/>
        <v>0</v>
      </c>
      <c r="Q50">
        <f t="shared" si="2"/>
        <v>0</v>
      </c>
      <c r="R50">
        <f t="shared" si="3"/>
        <v>0</v>
      </c>
      <c r="S50">
        <f t="shared" si="4"/>
        <v>0</v>
      </c>
      <c r="T50">
        <f t="shared" si="5"/>
        <v>1</v>
      </c>
    </row>
    <row r="51" spans="1:20">
      <c r="A51" t="s">
        <v>34</v>
      </c>
      <c r="B51" s="3">
        <v>45689</v>
      </c>
      <c r="C51" t="s">
        <v>20</v>
      </c>
      <c r="D51" t="s">
        <v>28</v>
      </c>
      <c r="E51">
        <v>49710.29</v>
      </c>
      <c r="F51">
        <v>5559</v>
      </c>
      <c r="G51">
        <v>0.218</v>
      </c>
      <c r="H51">
        <v>14</v>
      </c>
      <c r="I51">
        <v>71</v>
      </c>
      <c r="J51">
        <v>9.11</v>
      </c>
      <c r="K51">
        <v>0</v>
      </c>
      <c r="L51">
        <v>4.5999999999999996</v>
      </c>
      <c r="M51">
        <v>603297.56999999995</v>
      </c>
      <c r="N51">
        <v>60592.26</v>
      </c>
      <c r="O51">
        <f t="shared" si="0"/>
        <v>1</v>
      </c>
      <c r="P51">
        <f t="shared" si="1"/>
        <v>0</v>
      </c>
      <c r="Q51">
        <f t="shared" si="2"/>
        <v>0</v>
      </c>
      <c r="R51">
        <f t="shared" si="3"/>
        <v>0</v>
      </c>
      <c r="S51">
        <f t="shared" si="4"/>
        <v>0</v>
      </c>
      <c r="T51">
        <f t="shared" si="5"/>
        <v>1</v>
      </c>
    </row>
    <row r="52" spans="1:20">
      <c r="A52" t="s">
        <v>34</v>
      </c>
      <c r="B52" s="3">
        <v>45717</v>
      </c>
      <c r="C52" t="s">
        <v>20</v>
      </c>
      <c r="D52" t="s">
        <v>28</v>
      </c>
      <c r="E52">
        <v>48287.85</v>
      </c>
      <c r="F52">
        <v>5150</v>
      </c>
      <c r="G52">
        <v>8.0000000000000002E-3</v>
      </c>
      <c r="H52">
        <v>12</v>
      </c>
      <c r="I52">
        <v>80.400000000000006</v>
      </c>
      <c r="J52">
        <v>7.4</v>
      </c>
      <c r="K52">
        <v>0</v>
      </c>
      <c r="L52">
        <v>4.5</v>
      </c>
      <c r="M52">
        <v>625672.86</v>
      </c>
      <c r="N52">
        <v>118020.12</v>
      </c>
      <c r="O52">
        <f t="shared" si="0"/>
        <v>1</v>
      </c>
      <c r="P52">
        <f t="shared" si="1"/>
        <v>0</v>
      </c>
      <c r="Q52">
        <f t="shared" si="2"/>
        <v>0</v>
      </c>
      <c r="R52">
        <f t="shared" si="3"/>
        <v>0</v>
      </c>
      <c r="S52">
        <f t="shared" si="4"/>
        <v>0</v>
      </c>
      <c r="T52">
        <f t="shared" si="5"/>
        <v>1</v>
      </c>
    </row>
    <row r="53" spans="1:20">
      <c r="A53" t="s">
        <v>34</v>
      </c>
      <c r="B53" s="3">
        <v>45748</v>
      </c>
      <c r="C53" t="s">
        <v>20</v>
      </c>
      <c r="D53" t="s">
        <v>28</v>
      </c>
      <c r="E53">
        <v>65312.49</v>
      </c>
      <c r="F53">
        <v>7189</v>
      </c>
      <c r="G53">
        <v>0.05</v>
      </c>
      <c r="H53">
        <v>19</v>
      </c>
      <c r="I53">
        <v>93.7</v>
      </c>
      <c r="J53">
        <v>7.16</v>
      </c>
      <c r="K53">
        <v>0</v>
      </c>
      <c r="L53">
        <v>4.5999999999999996</v>
      </c>
      <c r="M53">
        <v>773815.14</v>
      </c>
      <c r="N53">
        <v>133948.39000000001</v>
      </c>
      <c r="O53">
        <f t="shared" si="0"/>
        <v>1</v>
      </c>
      <c r="P53">
        <f t="shared" si="1"/>
        <v>0</v>
      </c>
      <c r="Q53">
        <f t="shared" si="2"/>
        <v>0</v>
      </c>
      <c r="R53">
        <f t="shared" si="3"/>
        <v>0</v>
      </c>
      <c r="S53">
        <f t="shared" si="4"/>
        <v>0</v>
      </c>
      <c r="T53">
        <f t="shared" si="5"/>
        <v>1</v>
      </c>
    </row>
    <row r="54" spans="1:20">
      <c r="A54" t="s">
        <v>35</v>
      </c>
      <c r="B54" s="3">
        <v>45658</v>
      </c>
      <c r="C54" t="s">
        <v>27</v>
      </c>
      <c r="D54" t="s">
        <v>18</v>
      </c>
      <c r="E54">
        <v>53015.46</v>
      </c>
      <c r="F54">
        <v>3279</v>
      </c>
      <c r="G54">
        <v>8.6999999999999994E-2</v>
      </c>
      <c r="H54">
        <v>9</v>
      </c>
      <c r="I54">
        <v>84.3</v>
      </c>
      <c r="J54">
        <v>22.02</v>
      </c>
      <c r="K54">
        <v>0</v>
      </c>
      <c r="L54">
        <v>3.9</v>
      </c>
      <c r="M54">
        <v>463534.25</v>
      </c>
      <c r="N54">
        <v>81834.539999999994</v>
      </c>
      <c r="O54">
        <f t="shared" si="0"/>
        <v>0</v>
      </c>
      <c r="P54">
        <f t="shared" si="1"/>
        <v>0</v>
      </c>
      <c r="Q54">
        <f t="shared" si="2"/>
        <v>0</v>
      </c>
      <c r="R54">
        <f t="shared" si="3"/>
        <v>0</v>
      </c>
      <c r="S54">
        <f t="shared" si="4"/>
        <v>1</v>
      </c>
      <c r="T54">
        <f t="shared" si="5"/>
        <v>0</v>
      </c>
    </row>
    <row r="55" spans="1:20">
      <c r="A55" t="s">
        <v>35</v>
      </c>
      <c r="B55" s="3">
        <v>45689</v>
      </c>
      <c r="C55" t="s">
        <v>27</v>
      </c>
      <c r="D55" t="s">
        <v>18</v>
      </c>
      <c r="E55">
        <v>99874.01</v>
      </c>
      <c r="F55">
        <v>5887</v>
      </c>
      <c r="G55">
        <v>0.26200000000000001</v>
      </c>
      <c r="H55">
        <v>14</v>
      </c>
      <c r="I55">
        <v>88.7</v>
      </c>
      <c r="J55">
        <v>6.18</v>
      </c>
      <c r="K55">
        <v>0</v>
      </c>
      <c r="L55">
        <v>4.7</v>
      </c>
      <c r="M55">
        <v>746677.75</v>
      </c>
      <c r="N55">
        <v>122437.84</v>
      </c>
      <c r="O55">
        <f t="shared" si="0"/>
        <v>0</v>
      </c>
      <c r="P55">
        <f t="shared" si="1"/>
        <v>0</v>
      </c>
      <c r="Q55">
        <f t="shared" si="2"/>
        <v>0</v>
      </c>
      <c r="R55">
        <f t="shared" si="3"/>
        <v>0</v>
      </c>
      <c r="S55">
        <f t="shared" si="4"/>
        <v>1</v>
      </c>
      <c r="T55">
        <f t="shared" si="5"/>
        <v>0</v>
      </c>
    </row>
    <row r="56" spans="1:20">
      <c r="A56" t="s">
        <v>35</v>
      </c>
      <c r="B56" s="3">
        <v>45717</v>
      </c>
      <c r="C56" t="s">
        <v>27</v>
      </c>
      <c r="D56" t="s">
        <v>18</v>
      </c>
      <c r="E56">
        <v>81195.5</v>
      </c>
      <c r="F56">
        <v>5516</v>
      </c>
      <c r="G56">
        <v>0.106</v>
      </c>
      <c r="H56">
        <v>14</v>
      </c>
      <c r="I56">
        <v>88</v>
      </c>
      <c r="J56">
        <v>1.76</v>
      </c>
      <c r="K56">
        <v>0</v>
      </c>
      <c r="L56">
        <v>4.3</v>
      </c>
      <c r="M56">
        <v>720852.5</v>
      </c>
      <c r="N56">
        <v>98565.62</v>
      </c>
      <c r="O56">
        <f t="shared" si="0"/>
        <v>0</v>
      </c>
      <c r="P56">
        <f t="shared" si="1"/>
        <v>0</v>
      </c>
      <c r="Q56">
        <f t="shared" si="2"/>
        <v>0</v>
      </c>
      <c r="R56">
        <f t="shared" si="3"/>
        <v>0</v>
      </c>
      <c r="S56">
        <f t="shared" si="4"/>
        <v>1</v>
      </c>
      <c r="T56">
        <f t="shared" si="5"/>
        <v>0</v>
      </c>
    </row>
    <row r="57" spans="1:20">
      <c r="A57" t="s">
        <v>35</v>
      </c>
      <c r="B57" s="3">
        <v>45748</v>
      </c>
      <c r="C57" t="s">
        <v>27</v>
      </c>
      <c r="D57" t="s">
        <v>18</v>
      </c>
      <c r="E57">
        <v>27808.6</v>
      </c>
      <c r="F57">
        <v>2863</v>
      </c>
      <c r="G57">
        <v>0.08</v>
      </c>
      <c r="H57">
        <v>13</v>
      </c>
      <c r="I57">
        <v>89.3</v>
      </c>
      <c r="J57">
        <v>0.47</v>
      </c>
      <c r="K57">
        <v>0</v>
      </c>
      <c r="L57">
        <v>4.0999999999999996</v>
      </c>
      <c r="M57">
        <v>487464.91</v>
      </c>
      <c r="N57">
        <v>64562.26</v>
      </c>
      <c r="O57">
        <f t="shared" si="0"/>
        <v>0</v>
      </c>
      <c r="P57">
        <f t="shared" si="1"/>
        <v>0</v>
      </c>
      <c r="Q57">
        <f t="shared" si="2"/>
        <v>0</v>
      </c>
      <c r="R57">
        <f t="shared" si="3"/>
        <v>0</v>
      </c>
      <c r="S57">
        <f t="shared" si="4"/>
        <v>1</v>
      </c>
      <c r="T57">
        <f t="shared" si="5"/>
        <v>0</v>
      </c>
    </row>
    <row r="58" spans="1:20">
      <c r="A58" t="s">
        <v>36</v>
      </c>
      <c r="B58" s="3">
        <v>45658</v>
      </c>
      <c r="C58" t="s">
        <v>15</v>
      </c>
      <c r="D58" t="s">
        <v>21</v>
      </c>
      <c r="E58">
        <v>19365.060000000001</v>
      </c>
      <c r="F58">
        <v>2378</v>
      </c>
      <c r="G58">
        <v>0</v>
      </c>
      <c r="H58">
        <v>12</v>
      </c>
      <c r="I58">
        <v>94.8</v>
      </c>
      <c r="J58">
        <v>0.2</v>
      </c>
      <c r="K58">
        <v>0</v>
      </c>
      <c r="L58">
        <v>3.5</v>
      </c>
      <c r="M58">
        <v>518049.26</v>
      </c>
      <c r="N58">
        <v>108592.49</v>
      </c>
      <c r="O58">
        <f t="shared" si="0"/>
        <v>0</v>
      </c>
      <c r="P58">
        <f t="shared" si="1"/>
        <v>0</v>
      </c>
      <c r="Q58">
        <f t="shared" si="2"/>
        <v>1</v>
      </c>
      <c r="R58">
        <f t="shared" si="3"/>
        <v>1</v>
      </c>
      <c r="S58">
        <f t="shared" si="4"/>
        <v>0</v>
      </c>
      <c r="T58">
        <f t="shared" si="5"/>
        <v>0</v>
      </c>
    </row>
    <row r="59" spans="1:20">
      <c r="A59" t="s">
        <v>36</v>
      </c>
      <c r="B59" s="3">
        <v>45689</v>
      </c>
      <c r="C59" t="s">
        <v>15</v>
      </c>
      <c r="D59" t="s">
        <v>21</v>
      </c>
      <c r="E59">
        <v>59405.68</v>
      </c>
      <c r="F59">
        <v>2515</v>
      </c>
      <c r="G59">
        <v>3.9E-2</v>
      </c>
      <c r="H59">
        <v>12</v>
      </c>
      <c r="I59">
        <v>76</v>
      </c>
      <c r="J59">
        <v>5.1100000000000003</v>
      </c>
      <c r="K59">
        <v>0</v>
      </c>
      <c r="L59">
        <v>3.7</v>
      </c>
      <c r="M59">
        <v>500298.48</v>
      </c>
      <c r="N59">
        <v>73461.320000000007</v>
      </c>
      <c r="O59">
        <f t="shared" si="0"/>
        <v>0</v>
      </c>
      <c r="P59">
        <f t="shared" si="1"/>
        <v>0</v>
      </c>
      <c r="Q59">
        <f t="shared" si="2"/>
        <v>1</v>
      </c>
      <c r="R59">
        <f t="shared" si="3"/>
        <v>1</v>
      </c>
      <c r="S59">
        <f t="shared" si="4"/>
        <v>0</v>
      </c>
      <c r="T59">
        <f t="shared" si="5"/>
        <v>0</v>
      </c>
    </row>
    <row r="60" spans="1:20">
      <c r="A60" t="s">
        <v>36</v>
      </c>
      <c r="B60" s="3">
        <v>45717</v>
      </c>
      <c r="C60" t="s">
        <v>15</v>
      </c>
      <c r="D60" t="s">
        <v>21</v>
      </c>
      <c r="E60">
        <v>118910.48</v>
      </c>
      <c r="F60">
        <v>4022</v>
      </c>
      <c r="G60">
        <v>0.13700000000000001</v>
      </c>
      <c r="H60">
        <v>11</v>
      </c>
      <c r="I60">
        <v>87.1</v>
      </c>
      <c r="J60">
        <v>0.2</v>
      </c>
      <c r="K60">
        <v>0</v>
      </c>
      <c r="L60">
        <v>3.1</v>
      </c>
      <c r="M60">
        <v>617291.15</v>
      </c>
      <c r="N60">
        <v>117782</v>
      </c>
      <c r="O60">
        <f t="shared" si="0"/>
        <v>0</v>
      </c>
      <c r="P60">
        <f t="shared" si="1"/>
        <v>0</v>
      </c>
      <c r="Q60">
        <f t="shared" si="2"/>
        <v>1</v>
      </c>
      <c r="R60">
        <f t="shared" si="3"/>
        <v>1</v>
      </c>
      <c r="S60">
        <f t="shared" si="4"/>
        <v>0</v>
      </c>
      <c r="T60">
        <f t="shared" si="5"/>
        <v>0</v>
      </c>
    </row>
    <row r="61" spans="1:20">
      <c r="A61" t="s">
        <v>36</v>
      </c>
      <c r="B61" s="3">
        <v>45748</v>
      </c>
      <c r="C61" t="s">
        <v>15</v>
      </c>
      <c r="D61" t="s">
        <v>21</v>
      </c>
      <c r="E61">
        <v>52952.12</v>
      </c>
      <c r="F61">
        <v>4377</v>
      </c>
      <c r="G61">
        <v>9.1999999999999998E-2</v>
      </c>
      <c r="H61">
        <v>14</v>
      </c>
      <c r="I61">
        <v>88.6</v>
      </c>
      <c r="J61">
        <v>13.59</v>
      </c>
      <c r="K61">
        <v>0</v>
      </c>
      <c r="L61">
        <v>3.1</v>
      </c>
      <c r="M61">
        <v>553756.43000000005</v>
      </c>
      <c r="N61">
        <v>86166.77</v>
      </c>
      <c r="O61">
        <f t="shared" si="0"/>
        <v>0</v>
      </c>
      <c r="P61">
        <f t="shared" si="1"/>
        <v>0</v>
      </c>
      <c r="Q61">
        <f t="shared" si="2"/>
        <v>1</v>
      </c>
      <c r="R61">
        <f t="shared" si="3"/>
        <v>1</v>
      </c>
      <c r="S61">
        <f t="shared" si="4"/>
        <v>0</v>
      </c>
      <c r="T61">
        <f t="shared" si="5"/>
        <v>0</v>
      </c>
    </row>
    <row r="62" spans="1:20">
      <c r="A62" t="s">
        <v>37</v>
      </c>
      <c r="B62" s="3">
        <v>45658</v>
      </c>
      <c r="C62" t="s">
        <v>24</v>
      </c>
      <c r="D62" t="s">
        <v>18</v>
      </c>
      <c r="E62">
        <v>74907.98</v>
      </c>
      <c r="F62">
        <v>5306</v>
      </c>
      <c r="G62">
        <v>6.2E-2</v>
      </c>
      <c r="H62">
        <v>16</v>
      </c>
      <c r="I62">
        <v>95.6</v>
      </c>
      <c r="J62">
        <v>1.02</v>
      </c>
      <c r="K62">
        <v>0</v>
      </c>
      <c r="L62">
        <v>3.7</v>
      </c>
      <c r="M62">
        <v>749559.71</v>
      </c>
      <c r="N62">
        <v>144522.53</v>
      </c>
      <c r="O62">
        <f t="shared" si="0"/>
        <v>0</v>
      </c>
      <c r="P62">
        <f t="shared" si="1"/>
        <v>1</v>
      </c>
      <c r="Q62">
        <f t="shared" si="2"/>
        <v>0</v>
      </c>
      <c r="R62">
        <f t="shared" si="3"/>
        <v>0</v>
      </c>
      <c r="S62">
        <f t="shared" si="4"/>
        <v>1</v>
      </c>
      <c r="T62">
        <f t="shared" si="5"/>
        <v>0</v>
      </c>
    </row>
    <row r="63" spans="1:20">
      <c r="A63" t="s">
        <v>37</v>
      </c>
      <c r="B63" s="3">
        <v>45689</v>
      </c>
      <c r="C63" t="s">
        <v>24</v>
      </c>
      <c r="D63" t="s">
        <v>18</v>
      </c>
      <c r="E63">
        <v>37284.660000000003</v>
      </c>
      <c r="F63">
        <v>3928</v>
      </c>
      <c r="G63">
        <v>7.3999999999999996E-2</v>
      </c>
      <c r="H63">
        <v>12</v>
      </c>
      <c r="I63">
        <v>86.5</v>
      </c>
      <c r="J63">
        <v>1.64</v>
      </c>
      <c r="K63">
        <v>0</v>
      </c>
      <c r="L63">
        <v>3.8</v>
      </c>
      <c r="M63">
        <v>615966.48</v>
      </c>
      <c r="N63">
        <v>91509.38</v>
      </c>
      <c r="O63">
        <f t="shared" si="0"/>
        <v>0</v>
      </c>
      <c r="P63">
        <f t="shared" si="1"/>
        <v>1</v>
      </c>
      <c r="Q63">
        <f t="shared" si="2"/>
        <v>0</v>
      </c>
      <c r="R63">
        <f t="shared" si="3"/>
        <v>0</v>
      </c>
      <c r="S63">
        <f t="shared" si="4"/>
        <v>1</v>
      </c>
      <c r="T63">
        <f t="shared" si="5"/>
        <v>0</v>
      </c>
    </row>
    <row r="64" spans="1:20">
      <c r="A64" t="s">
        <v>37</v>
      </c>
      <c r="B64" s="3">
        <v>45717</v>
      </c>
      <c r="C64" t="s">
        <v>24</v>
      </c>
      <c r="D64" t="s">
        <v>18</v>
      </c>
      <c r="E64">
        <v>50343.19</v>
      </c>
      <c r="F64">
        <v>3845</v>
      </c>
      <c r="G64">
        <v>0.113</v>
      </c>
      <c r="H64">
        <v>9</v>
      </c>
      <c r="I64">
        <v>88.7</v>
      </c>
      <c r="J64">
        <v>5.15</v>
      </c>
      <c r="K64">
        <v>0</v>
      </c>
      <c r="L64">
        <v>3.3</v>
      </c>
      <c r="M64">
        <v>572011.19999999995</v>
      </c>
      <c r="N64">
        <v>101409.68</v>
      </c>
      <c r="O64">
        <f t="shared" si="0"/>
        <v>0</v>
      </c>
      <c r="P64">
        <f t="shared" si="1"/>
        <v>1</v>
      </c>
      <c r="Q64">
        <f t="shared" si="2"/>
        <v>0</v>
      </c>
      <c r="R64">
        <f t="shared" si="3"/>
        <v>0</v>
      </c>
      <c r="S64">
        <f t="shared" si="4"/>
        <v>1</v>
      </c>
      <c r="T64">
        <f t="shared" si="5"/>
        <v>0</v>
      </c>
    </row>
    <row r="65" spans="1:20">
      <c r="A65" t="s">
        <v>37</v>
      </c>
      <c r="B65" s="3">
        <v>45748</v>
      </c>
      <c r="C65" t="s">
        <v>24</v>
      </c>
      <c r="D65" t="s">
        <v>18</v>
      </c>
      <c r="E65">
        <v>74954.47</v>
      </c>
      <c r="F65">
        <v>6620</v>
      </c>
      <c r="G65">
        <v>5.3999999999999999E-2</v>
      </c>
      <c r="H65">
        <v>17</v>
      </c>
      <c r="I65">
        <v>91.1</v>
      </c>
      <c r="J65">
        <v>1.1100000000000001</v>
      </c>
      <c r="K65">
        <v>0</v>
      </c>
      <c r="L65">
        <v>3.5</v>
      </c>
      <c r="M65">
        <v>761860.19</v>
      </c>
      <c r="N65">
        <v>133279.38</v>
      </c>
      <c r="O65">
        <f t="shared" si="0"/>
        <v>0</v>
      </c>
      <c r="P65">
        <f t="shared" si="1"/>
        <v>1</v>
      </c>
      <c r="Q65">
        <f t="shared" si="2"/>
        <v>0</v>
      </c>
      <c r="R65">
        <f t="shared" si="3"/>
        <v>0</v>
      </c>
      <c r="S65">
        <f t="shared" si="4"/>
        <v>1</v>
      </c>
      <c r="T65">
        <f t="shared" si="5"/>
        <v>0</v>
      </c>
    </row>
    <row r="66" spans="1:20">
      <c r="A66" t="s">
        <v>38</v>
      </c>
      <c r="B66" s="3">
        <v>45658</v>
      </c>
      <c r="C66" t="s">
        <v>27</v>
      </c>
      <c r="D66" t="s">
        <v>18</v>
      </c>
      <c r="E66">
        <v>70040.31</v>
      </c>
      <c r="F66">
        <v>9175</v>
      </c>
      <c r="G66">
        <v>0.107</v>
      </c>
      <c r="H66">
        <v>23</v>
      </c>
      <c r="I66">
        <v>95.1</v>
      </c>
      <c r="J66">
        <v>6.08</v>
      </c>
      <c r="K66">
        <v>1</v>
      </c>
      <c r="L66">
        <v>3.4</v>
      </c>
      <c r="M66">
        <v>784502.68</v>
      </c>
      <c r="N66">
        <v>129519.72</v>
      </c>
      <c r="O66">
        <f t="shared" si="0"/>
        <v>0</v>
      </c>
      <c r="P66">
        <f t="shared" si="1"/>
        <v>0</v>
      </c>
      <c r="Q66">
        <f t="shared" si="2"/>
        <v>0</v>
      </c>
      <c r="R66">
        <f t="shared" si="3"/>
        <v>0</v>
      </c>
      <c r="S66">
        <f t="shared" si="4"/>
        <v>1</v>
      </c>
      <c r="T66">
        <f t="shared" si="5"/>
        <v>0</v>
      </c>
    </row>
    <row r="67" spans="1:20">
      <c r="A67" t="s">
        <v>38</v>
      </c>
      <c r="B67" s="3">
        <v>45689</v>
      </c>
      <c r="C67" t="s">
        <v>27</v>
      </c>
      <c r="D67" t="s">
        <v>18</v>
      </c>
      <c r="E67">
        <v>51148.69</v>
      </c>
      <c r="F67">
        <v>7940</v>
      </c>
      <c r="G67">
        <v>0.156</v>
      </c>
      <c r="H67">
        <v>18</v>
      </c>
      <c r="I67">
        <v>93.3</v>
      </c>
      <c r="J67">
        <v>10.91</v>
      </c>
      <c r="K67">
        <v>0</v>
      </c>
      <c r="L67">
        <v>3.6</v>
      </c>
      <c r="M67">
        <v>717141.55</v>
      </c>
      <c r="N67">
        <v>134013.60999999999</v>
      </c>
      <c r="O67">
        <f t="shared" ref="O67:O130" si="6">IF(C67="North",1,0)</f>
        <v>0</v>
      </c>
      <c r="P67">
        <f t="shared" ref="P67:P130" si="7">IF(C67="South",1,0)</f>
        <v>0</v>
      </c>
      <c r="Q67">
        <f t="shared" ref="Q67:Q130" si="8">IF(C67="East",1,0)</f>
        <v>0</v>
      </c>
      <c r="R67">
        <f t="shared" ref="R67:R130" si="9">IF(D67="Airport",1,0)</f>
        <v>0</v>
      </c>
      <c r="S67">
        <f t="shared" ref="S67:S130" si="10">IF(D67="High Street",1,0)</f>
        <v>1</v>
      </c>
      <c r="T67">
        <f t="shared" ref="T67:T130" si="11">IF(D67="Mall",1,0)</f>
        <v>0</v>
      </c>
    </row>
    <row r="68" spans="1:20">
      <c r="A68" t="s">
        <v>38</v>
      </c>
      <c r="B68" s="3">
        <v>45717</v>
      </c>
      <c r="C68" t="s">
        <v>27</v>
      </c>
      <c r="D68" t="s">
        <v>18</v>
      </c>
      <c r="E68">
        <v>79346.100000000006</v>
      </c>
      <c r="F68">
        <v>9628</v>
      </c>
      <c r="G68">
        <v>0.10199999999999999</v>
      </c>
      <c r="H68">
        <v>20</v>
      </c>
      <c r="I68">
        <v>99</v>
      </c>
      <c r="J68">
        <v>19.010000000000002</v>
      </c>
      <c r="K68">
        <v>1</v>
      </c>
      <c r="L68">
        <v>3.2</v>
      </c>
      <c r="M68">
        <v>685379.08</v>
      </c>
      <c r="N68">
        <v>106898.82</v>
      </c>
      <c r="O68">
        <f t="shared" si="6"/>
        <v>0</v>
      </c>
      <c r="P68">
        <f t="shared" si="7"/>
        <v>0</v>
      </c>
      <c r="Q68">
        <f t="shared" si="8"/>
        <v>0</v>
      </c>
      <c r="R68">
        <f t="shared" si="9"/>
        <v>0</v>
      </c>
      <c r="S68">
        <f t="shared" si="10"/>
        <v>1</v>
      </c>
      <c r="T68">
        <f t="shared" si="11"/>
        <v>0</v>
      </c>
    </row>
    <row r="69" spans="1:20">
      <c r="A69" t="s">
        <v>38</v>
      </c>
      <c r="B69" s="3">
        <v>45748</v>
      </c>
      <c r="C69" t="s">
        <v>27</v>
      </c>
      <c r="D69" t="s">
        <v>18</v>
      </c>
      <c r="E69">
        <v>42018.400000000001</v>
      </c>
      <c r="F69">
        <v>8296</v>
      </c>
      <c r="G69">
        <v>0.115</v>
      </c>
      <c r="H69">
        <v>17</v>
      </c>
      <c r="I69">
        <v>91.8</v>
      </c>
      <c r="J69">
        <v>0.77</v>
      </c>
      <c r="K69">
        <v>0</v>
      </c>
      <c r="L69">
        <v>3.4</v>
      </c>
      <c r="M69">
        <v>740496.65</v>
      </c>
      <c r="N69">
        <v>128020.9</v>
      </c>
      <c r="O69">
        <f t="shared" si="6"/>
        <v>0</v>
      </c>
      <c r="P69">
        <f t="shared" si="7"/>
        <v>0</v>
      </c>
      <c r="Q69">
        <f t="shared" si="8"/>
        <v>0</v>
      </c>
      <c r="R69">
        <f t="shared" si="9"/>
        <v>0</v>
      </c>
      <c r="S69">
        <f t="shared" si="10"/>
        <v>1</v>
      </c>
      <c r="T69">
        <f t="shared" si="11"/>
        <v>0</v>
      </c>
    </row>
    <row r="70" spans="1:20">
      <c r="A70" t="s">
        <v>39</v>
      </c>
      <c r="B70" s="3">
        <v>45658</v>
      </c>
      <c r="C70" t="s">
        <v>15</v>
      </c>
      <c r="D70" t="s">
        <v>18</v>
      </c>
      <c r="E70">
        <v>70937.240000000005</v>
      </c>
      <c r="F70">
        <v>3595</v>
      </c>
      <c r="G70">
        <v>0.14099999999999999</v>
      </c>
      <c r="H70">
        <v>11</v>
      </c>
      <c r="I70">
        <v>88.9</v>
      </c>
      <c r="J70">
        <v>2.83</v>
      </c>
      <c r="K70">
        <v>1</v>
      </c>
      <c r="L70">
        <v>3.3</v>
      </c>
      <c r="M70">
        <v>661927.14</v>
      </c>
      <c r="N70">
        <v>79218.570000000007</v>
      </c>
      <c r="O70">
        <f t="shared" si="6"/>
        <v>0</v>
      </c>
      <c r="P70">
        <f t="shared" si="7"/>
        <v>0</v>
      </c>
      <c r="Q70">
        <f t="shared" si="8"/>
        <v>1</v>
      </c>
      <c r="R70">
        <f t="shared" si="9"/>
        <v>0</v>
      </c>
      <c r="S70">
        <f t="shared" si="10"/>
        <v>1</v>
      </c>
      <c r="T70">
        <f t="shared" si="11"/>
        <v>0</v>
      </c>
    </row>
    <row r="71" spans="1:20">
      <c r="A71" t="s">
        <v>39</v>
      </c>
      <c r="B71" s="3">
        <v>45689</v>
      </c>
      <c r="C71" t="s">
        <v>15</v>
      </c>
      <c r="D71" t="s">
        <v>18</v>
      </c>
      <c r="E71">
        <v>36813.449999999997</v>
      </c>
      <c r="F71">
        <v>2834</v>
      </c>
      <c r="G71">
        <v>0.191</v>
      </c>
      <c r="H71">
        <v>11</v>
      </c>
      <c r="I71">
        <v>81.8</v>
      </c>
      <c r="J71">
        <v>2.33</v>
      </c>
      <c r="K71">
        <v>0</v>
      </c>
      <c r="L71">
        <v>3.3</v>
      </c>
      <c r="M71">
        <v>479050.5</v>
      </c>
      <c r="N71">
        <v>53651.11</v>
      </c>
      <c r="O71">
        <f t="shared" si="6"/>
        <v>0</v>
      </c>
      <c r="P71">
        <f t="shared" si="7"/>
        <v>0</v>
      </c>
      <c r="Q71">
        <f t="shared" si="8"/>
        <v>1</v>
      </c>
      <c r="R71">
        <f t="shared" si="9"/>
        <v>0</v>
      </c>
      <c r="S71">
        <f t="shared" si="10"/>
        <v>1</v>
      </c>
      <c r="T71">
        <f t="shared" si="11"/>
        <v>0</v>
      </c>
    </row>
    <row r="72" spans="1:20">
      <c r="A72" t="s">
        <v>39</v>
      </c>
      <c r="B72" s="3">
        <v>45717</v>
      </c>
      <c r="C72" t="s">
        <v>15</v>
      </c>
      <c r="D72" t="s">
        <v>18</v>
      </c>
      <c r="E72">
        <v>60571.82</v>
      </c>
      <c r="F72">
        <v>3193</v>
      </c>
      <c r="G72">
        <v>0.19700000000000001</v>
      </c>
      <c r="H72">
        <v>7</v>
      </c>
      <c r="I72">
        <v>99</v>
      </c>
      <c r="J72">
        <v>1.43</v>
      </c>
      <c r="K72">
        <v>0</v>
      </c>
      <c r="L72">
        <v>3.2</v>
      </c>
      <c r="M72">
        <v>605023.87</v>
      </c>
      <c r="N72">
        <v>98545.81</v>
      </c>
      <c r="O72">
        <f t="shared" si="6"/>
        <v>0</v>
      </c>
      <c r="P72">
        <f t="shared" si="7"/>
        <v>0</v>
      </c>
      <c r="Q72">
        <f t="shared" si="8"/>
        <v>1</v>
      </c>
      <c r="R72">
        <f t="shared" si="9"/>
        <v>0</v>
      </c>
      <c r="S72">
        <f t="shared" si="10"/>
        <v>1</v>
      </c>
      <c r="T72">
        <f t="shared" si="11"/>
        <v>0</v>
      </c>
    </row>
    <row r="73" spans="1:20">
      <c r="A73" t="s">
        <v>39</v>
      </c>
      <c r="B73" s="3">
        <v>45748</v>
      </c>
      <c r="C73" t="s">
        <v>15</v>
      </c>
      <c r="D73" t="s">
        <v>18</v>
      </c>
      <c r="E73">
        <v>55081.16</v>
      </c>
      <c r="F73">
        <v>5485</v>
      </c>
      <c r="G73">
        <v>3.5999999999999997E-2</v>
      </c>
      <c r="H73">
        <v>12</v>
      </c>
      <c r="I73">
        <v>88</v>
      </c>
      <c r="J73" s="6">
        <v>4.5599999999999996</v>
      </c>
      <c r="K73">
        <v>0</v>
      </c>
      <c r="L73">
        <v>3.5</v>
      </c>
      <c r="M73">
        <v>674774.09</v>
      </c>
      <c r="N73">
        <v>141917.59</v>
      </c>
      <c r="O73">
        <f t="shared" si="6"/>
        <v>0</v>
      </c>
      <c r="P73">
        <f t="shared" si="7"/>
        <v>0</v>
      </c>
      <c r="Q73">
        <f t="shared" si="8"/>
        <v>1</v>
      </c>
      <c r="R73">
        <f t="shared" si="9"/>
        <v>0</v>
      </c>
      <c r="S73">
        <f t="shared" si="10"/>
        <v>1</v>
      </c>
      <c r="T73">
        <f t="shared" si="11"/>
        <v>0</v>
      </c>
    </row>
    <row r="74" spans="1:20">
      <c r="A74" t="s">
        <v>40</v>
      </c>
      <c r="B74" s="3">
        <v>45658</v>
      </c>
      <c r="C74" t="s">
        <v>15</v>
      </c>
      <c r="D74" t="s">
        <v>16</v>
      </c>
      <c r="E74">
        <v>46201.46</v>
      </c>
      <c r="F74">
        <v>5918</v>
      </c>
      <c r="G74">
        <v>0.27700000000000002</v>
      </c>
      <c r="H74">
        <v>13</v>
      </c>
      <c r="I74">
        <v>78.8</v>
      </c>
      <c r="J74">
        <v>4.91</v>
      </c>
      <c r="K74">
        <v>0</v>
      </c>
      <c r="L74">
        <v>4.5</v>
      </c>
      <c r="M74">
        <v>616069.41</v>
      </c>
      <c r="N74">
        <v>54453.99</v>
      </c>
      <c r="O74">
        <f t="shared" si="6"/>
        <v>0</v>
      </c>
      <c r="P74">
        <f t="shared" si="7"/>
        <v>0</v>
      </c>
      <c r="Q74">
        <f t="shared" si="8"/>
        <v>1</v>
      </c>
      <c r="R74">
        <f t="shared" si="9"/>
        <v>0</v>
      </c>
      <c r="S74">
        <f t="shared" si="10"/>
        <v>0</v>
      </c>
      <c r="T74">
        <f t="shared" si="11"/>
        <v>0</v>
      </c>
    </row>
    <row r="75" spans="1:20">
      <c r="A75" t="s">
        <v>40</v>
      </c>
      <c r="B75" s="3">
        <v>45689</v>
      </c>
      <c r="C75" t="s">
        <v>15</v>
      </c>
      <c r="D75" t="s">
        <v>16</v>
      </c>
      <c r="E75">
        <v>53762.92</v>
      </c>
      <c r="F75">
        <v>6821</v>
      </c>
      <c r="G75">
        <v>6.6000000000000003E-2</v>
      </c>
      <c r="H75">
        <v>19</v>
      </c>
      <c r="I75">
        <v>94.6</v>
      </c>
      <c r="J75">
        <v>7.03</v>
      </c>
      <c r="K75">
        <v>0</v>
      </c>
      <c r="L75">
        <v>4.4000000000000004</v>
      </c>
      <c r="M75">
        <v>630829.93999999994</v>
      </c>
      <c r="N75">
        <v>117090.02</v>
      </c>
      <c r="O75">
        <f t="shared" si="6"/>
        <v>0</v>
      </c>
      <c r="P75">
        <f t="shared" si="7"/>
        <v>0</v>
      </c>
      <c r="Q75">
        <f t="shared" si="8"/>
        <v>1</v>
      </c>
      <c r="R75">
        <f t="shared" si="9"/>
        <v>0</v>
      </c>
      <c r="S75">
        <f t="shared" si="10"/>
        <v>0</v>
      </c>
      <c r="T75">
        <f t="shared" si="11"/>
        <v>0</v>
      </c>
    </row>
    <row r="76" spans="1:20">
      <c r="A76" t="s">
        <v>40</v>
      </c>
      <c r="B76" s="3">
        <v>45717</v>
      </c>
      <c r="C76" t="s">
        <v>15</v>
      </c>
      <c r="D76" t="s">
        <v>16</v>
      </c>
      <c r="E76">
        <v>70144.78</v>
      </c>
      <c r="F76">
        <v>6806</v>
      </c>
      <c r="G76">
        <v>0.17799999999999999</v>
      </c>
      <c r="H76">
        <v>20</v>
      </c>
      <c r="I76">
        <v>93.1</v>
      </c>
      <c r="J76">
        <v>0.28000000000000003</v>
      </c>
      <c r="K76">
        <v>1</v>
      </c>
      <c r="L76">
        <v>4.3</v>
      </c>
      <c r="M76">
        <v>788087.68</v>
      </c>
      <c r="N76">
        <v>116803.42</v>
      </c>
      <c r="O76">
        <f t="shared" si="6"/>
        <v>0</v>
      </c>
      <c r="P76">
        <f t="shared" si="7"/>
        <v>0</v>
      </c>
      <c r="Q76">
        <f t="shared" si="8"/>
        <v>1</v>
      </c>
      <c r="R76">
        <f t="shared" si="9"/>
        <v>0</v>
      </c>
      <c r="S76">
        <f t="shared" si="10"/>
        <v>0</v>
      </c>
      <c r="T76">
        <f t="shared" si="11"/>
        <v>0</v>
      </c>
    </row>
    <row r="77" spans="1:20">
      <c r="A77" t="s">
        <v>40</v>
      </c>
      <c r="B77" s="3">
        <v>45748</v>
      </c>
      <c r="C77" t="s">
        <v>15</v>
      </c>
      <c r="D77" t="s">
        <v>16</v>
      </c>
      <c r="E77">
        <v>58749.63</v>
      </c>
      <c r="F77">
        <v>8252</v>
      </c>
      <c r="G77">
        <v>0.20300000000000001</v>
      </c>
      <c r="H77">
        <v>20</v>
      </c>
      <c r="I77">
        <v>85.2</v>
      </c>
      <c r="J77">
        <v>3.61</v>
      </c>
      <c r="K77">
        <v>0</v>
      </c>
      <c r="L77">
        <v>4.5</v>
      </c>
      <c r="M77">
        <v>680840.36</v>
      </c>
      <c r="N77">
        <v>68007.679999999993</v>
      </c>
      <c r="O77">
        <f t="shared" si="6"/>
        <v>0</v>
      </c>
      <c r="P77">
        <f t="shared" si="7"/>
        <v>0</v>
      </c>
      <c r="Q77">
        <f t="shared" si="8"/>
        <v>1</v>
      </c>
      <c r="R77">
        <f t="shared" si="9"/>
        <v>0</v>
      </c>
      <c r="S77">
        <f t="shared" si="10"/>
        <v>0</v>
      </c>
      <c r="T77">
        <f t="shared" si="11"/>
        <v>0</v>
      </c>
    </row>
    <row r="78" spans="1:20">
      <c r="A78" t="s">
        <v>41</v>
      </c>
      <c r="B78" s="3">
        <v>45658</v>
      </c>
      <c r="C78" t="s">
        <v>24</v>
      </c>
      <c r="D78" t="s">
        <v>18</v>
      </c>
      <c r="E78">
        <v>56973.18</v>
      </c>
      <c r="F78">
        <v>6662</v>
      </c>
      <c r="G78">
        <v>0.1</v>
      </c>
      <c r="H78">
        <v>15</v>
      </c>
      <c r="I78">
        <v>77.7</v>
      </c>
      <c r="J78">
        <v>7.52</v>
      </c>
      <c r="K78">
        <v>1</v>
      </c>
      <c r="L78">
        <v>3.2</v>
      </c>
      <c r="M78">
        <v>643657.47</v>
      </c>
      <c r="N78">
        <v>87022.45</v>
      </c>
      <c r="O78">
        <f t="shared" si="6"/>
        <v>0</v>
      </c>
      <c r="P78">
        <f t="shared" si="7"/>
        <v>1</v>
      </c>
      <c r="Q78">
        <f t="shared" si="8"/>
        <v>0</v>
      </c>
      <c r="R78">
        <f t="shared" si="9"/>
        <v>0</v>
      </c>
      <c r="S78">
        <f t="shared" si="10"/>
        <v>1</v>
      </c>
      <c r="T78">
        <f t="shared" si="11"/>
        <v>0</v>
      </c>
    </row>
    <row r="79" spans="1:20">
      <c r="A79" t="s">
        <v>41</v>
      </c>
      <c r="B79" s="3">
        <v>45689</v>
      </c>
      <c r="C79" t="s">
        <v>24</v>
      </c>
      <c r="D79" t="s">
        <v>18</v>
      </c>
      <c r="E79">
        <v>54872.82</v>
      </c>
      <c r="F79">
        <v>5962</v>
      </c>
      <c r="G79">
        <v>6.4000000000000001E-2</v>
      </c>
      <c r="H79">
        <v>12</v>
      </c>
      <c r="I79">
        <v>85.4</v>
      </c>
      <c r="J79">
        <v>2.58</v>
      </c>
      <c r="K79">
        <v>0</v>
      </c>
      <c r="L79">
        <v>2.9</v>
      </c>
      <c r="M79">
        <v>691112.6</v>
      </c>
      <c r="N79">
        <v>109212.83</v>
      </c>
      <c r="O79">
        <f t="shared" si="6"/>
        <v>0</v>
      </c>
      <c r="P79">
        <f t="shared" si="7"/>
        <v>1</v>
      </c>
      <c r="Q79">
        <f t="shared" si="8"/>
        <v>0</v>
      </c>
      <c r="R79">
        <f t="shared" si="9"/>
        <v>0</v>
      </c>
      <c r="S79">
        <f t="shared" si="10"/>
        <v>1</v>
      </c>
      <c r="T79">
        <f t="shared" si="11"/>
        <v>0</v>
      </c>
    </row>
    <row r="80" spans="1:20">
      <c r="A80" t="s">
        <v>41</v>
      </c>
      <c r="B80" s="3">
        <v>45717</v>
      </c>
      <c r="C80" t="s">
        <v>24</v>
      </c>
      <c r="D80" t="s">
        <v>18</v>
      </c>
      <c r="E80">
        <v>80562.81</v>
      </c>
      <c r="F80">
        <v>7470</v>
      </c>
      <c r="G80">
        <v>0.17199999999999999</v>
      </c>
      <c r="H80">
        <v>16</v>
      </c>
      <c r="I80">
        <v>83.5</v>
      </c>
      <c r="J80">
        <v>2.29</v>
      </c>
      <c r="K80">
        <v>0</v>
      </c>
      <c r="L80">
        <v>3.3</v>
      </c>
      <c r="M80">
        <v>776922.17</v>
      </c>
      <c r="N80">
        <v>150701.93</v>
      </c>
      <c r="O80">
        <f t="shared" si="6"/>
        <v>0</v>
      </c>
      <c r="P80">
        <f t="shared" si="7"/>
        <v>1</v>
      </c>
      <c r="Q80">
        <f t="shared" si="8"/>
        <v>0</v>
      </c>
      <c r="R80">
        <f t="shared" si="9"/>
        <v>0</v>
      </c>
      <c r="S80">
        <f t="shared" si="10"/>
        <v>1</v>
      </c>
      <c r="T80">
        <f t="shared" si="11"/>
        <v>0</v>
      </c>
    </row>
    <row r="81" spans="1:20">
      <c r="A81" t="s">
        <v>41</v>
      </c>
      <c r="B81" s="3">
        <v>45748</v>
      </c>
      <c r="C81" t="s">
        <v>24</v>
      </c>
      <c r="D81" t="s">
        <v>18</v>
      </c>
      <c r="E81">
        <v>77999.899999999994</v>
      </c>
      <c r="F81">
        <v>5974</v>
      </c>
      <c r="G81">
        <v>0.252</v>
      </c>
      <c r="H81">
        <v>14</v>
      </c>
      <c r="I81">
        <v>81.3</v>
      </c>
      <c r="J81">
        <v>2.39</v>
      </c>
      <c r="K81">
        <v>0</v>
      </c>
      <c r="L81">
        <v>3.2</v>
      </c>
      <c r="M81">
        <v>636561.34</v>
      </c>
      <c r="N81">
        <v>93861.06</v>
      </c>
      <c r="O81">
        <f t="shared" si="6"/>
        <v>0</v>
      </c>
      <c r="P81">
        <f t="shared" si="7"/>
        <v>1</v>
      </c>
      <c r="Q81">
        <f t="shared" si="8"/>
        <v>0</v>
      </c>
      <c r="R81">
        <f t="shared" si="9"/>
        <v>0</v>
      </c>
      <c r="S81">
        <f t="shared" si="10"/>
        <v>1</v>
      </c>
      <c r="T81">
        <f t="shared" si="11"/>
        <v>0</v>
      </c>
    </row>
    <row r="82" spans="1:20">
      <c r="A82" t="s">
        <v>42</v>
      </c>
      <c r="B82" s="3">
        <v>45658</v>
      </c>
      <c r="C82" t="s">
        <v>27</v>
      </c>
      <c r="D82" t="s">
        <v>28</v>
      </c>
      <c r="E82">
        <v>60881.01</v>
      </c>
      <c r="F82">
        <v>5410</v>
      </c>
      <c r="G82">
        <v>0.17899999999999999</v>
      </c>
      <c r="H82">
        <v>15</v>
      </c>
      <c r="I82">
        <v>83.9</v>
      </c>
      <c r="J82">
        <v>5.24</v>
      </c>
      <c r="K82">
        <v>0</v>
      </c>
      <c r="L82">
        <v>4.5999999999999996</v>
      </c>
      <c r="M82">
        <v>621369.57999999996</v>
      </c>
      <c r="N82">
        <v>85493.64</v>
      </c>
      <c r="O82">
        <f t="shared" si="6"/>
        <v>0</v>
      </c>
      <c r="P82">
        <f t="shared" si="7"/>
        <v>0</v>
      </c>
      <c r="Q82">
        <f t="shared" si="8"/>
        <v>0</v>
      </c>
      <c r="R82">
        <f t="shared" si="9"/>
        <v>0</v>
      </c>
      <c r="S82">
        <f t="shared" si="10"/>
        <v>0</v>
      </c>
      <c r="T82">
        <f t="shared" si="11"/>
        <v>1</v>
      </c>
    </row>
    <row r="83" spans="1:20">
      <c r="A83" t="s">
        <v>42</v>
      </c>
      <c r="B83" s="3">
        <v>45689</v>
      </c>
      <c r="C83" t="s">
        <v>27</v>
      </c>
      <c r="D83" t="s">
        <v>28</v>
      </c>
      <c r="E83">
        <v>60628.38</v>
      </c>
      <c r="F83">
        <v>4451</v>
      </c>
      <c r="G83">
        <v>9.5000000000000001E-2</v>
      </c>
      <c r="H83">
        <v>10</v>
      </c>
      <c r="I83">
        <v>89.6</v>
      </c>
      <c r="J83">
        <v>3.17</v>
      </c>
      <c r="K83">
        <v>0</v>
      </c>
      <c r="L83">
        <v>4.5999999999999996</v>
      </c>
      <c r="M83">
        <v>682208.01</v>
      </c>
      <c r="N83">
        <v>110318.84</v>
      </c>
      <c r="O83">
        <f t="shared" si="6"/>
        <v>0</v>
      </c>
      <c r="P83">
        <f t="shared" si="7"/>
        <v>0</v>
      </c>
      <c r="Q83">
        <f t="shared" si="8"/>
        <v>0</v>
      </c>
      <c r="R83">
        <f t="shared" si="9"/>
        <v>0</v>
      </c>
      <c r="S83">
        <f t="shared" si="10"/>
        <v>0</v>
      </c>
      <c r="T83">
        <f t="shared" si="11"/>
        <v>1</v>
      </c>
    </row>
    <row r="84" spans="1:20">
      <c r="A84" t="s">
        <v>42</v>
      </c>
      <c r="B84" s="3">
        <v>45717</v>
      </c>
      <c r="C84" t="s">
        <v>27</v>
      </c>
      <c r="D84" t="s">
        <v>28</v>
      </c>
      <c r="E84">
        <v>72731.14</v>
      </c>
      <c r="F84">
        <v>4644</v>
      </c>
      <c r="G84">
        <v>8.4000000000000005E-2</v>
      </c>
      <c r="H84">
        <v>15</v>
      </c>
      <c r="I84">
        <v>87.1</v>
      </c>
      <c r="J84">
        <v>2.66</v>
      </c>
      <c r="K84">
        <v>0</v>
      </c>
      <c r="L84">
        <v>4.5999999999999996</v>
      </c>
      <c r="M84">
        <v>727241.86</v>
      </c>
      <c r="N84">
        <v>155810.29999999999</v>
      </c>
      <c r="O84">
        <f t="shared" si="6"/>
        <v>0</v>
      </c>
      <c r="P84">
        <f t="shared" si="7"/>
        <v>0</v>
      </c>
      <c r="Q84">
        <f t="shared" si="8"/>
        <v>0</v>
      </c>
      <c r="R84">
        <f t="shared" si="9"/>
        <v>0</v>
      </c>
      <c r="S84">
        <f t="shared" si="10"/>
        <v>0</v>
      </c>
      <c r="T84">
        <f t="shared" si="11"/>
        <v>1</v>
      </c>
    </row>
    <row r="85" spans="1:20">
      <c r="A85" t="s">
        <v>42</v>
      </c>
      <c r="B85" s="3">
        <v>45748</v>
      </c>
      <c r="C85" t="s">
        <v>27</v>
      </c>
      <c r="D85" t="s">
        <v>28</v>
      </c>
      <c r="E85">
        <v>36475.71</v>
      </c>
      <c r="F85">
        <v>3559</v>
      </c>
      <c r="G85">
        <v>0.03</v>
      </c>
      <c r="H85">
        <v>8</v>
      </c>
      <c r="I85">
        <v>83.6</v>
      </c>
      <c r="J85">
        <v>1.41</v>
      </c>
      <c r="K85">
        <v>0</v>
      </c>
      <c r="L85">
        <v>4.2</v>
      </c>
      <c r="M85">
        <v>569100.78</v>
      </c>
      <c r="N85">
        <v>104808.78</v>
      </c>
      <c r="O85">
        <f t="shared" si="6"/>
        <v>0</v>
      </c>
      <c r="P85">
        <f t="shared" si="7"/>
        <v>0</v>
      </c>
      <c r="Q85">
        <f t="shared" si="8"/>
        <v>0</v>
      </c>
      <c r="R85">
        <f t="shared" si="9"/>
        <v>0</v>
      </c>
      <c r="S85">
        <f t="shared" si="10"/>
        <v>0</v>
      </c>
      <c r="T85">
        <f t="shared" si="11"/>
        <v>1</v>
      </c>
    </row>
    <row r="86" spans="1:20">
      <c r="A86" t="s">
        <v>43</v>
      </c>
      <c r="B86" s="3">
        <v>45658</v>
      </c>
      <c r="C86" t="s">
        <v>27</v>
      </c>
      <c r="D86" t="s">
        <v>18</v>
      </c>
      <c r="E86">
        <v>55388.11</v>
      </c>
      <c r="F86">
        <v>3091</v>
      </c>
      <c r="G86">
        <v>0.108</v>
      </c>
      <c r="H86">
        <v>7</v>
      </c>
      <c r="I86">
        <v>85.4</v>
      </c>
      <c r="J86">
        <v>7.34</v>
      </c>
      <c r="K86">
        <v>0</v>
      </c>
      <c r="L86">
        <v>4.9000000000000004</v>
      </c>
      <c r="M86">
        <v>574436.29</v>
      </c>
      <c r="N86">
        <v>80271.990000000005</v>
      </c>
      <c r="O86">
        <f t="shared" si="6"/>
        <v>0</v>
      </c>
      <c r="P86">
        <f t="shared" si="7"/>
        <v>0</v>
      </c>
      <c r="Q86">
        <f t="shared" si="8"/>
        <v>0</v>
      </c>
      <c r="R86">
        <f t="shared" si="9"/>
        <v>0</v>
      </c>
      <c r="S86">
        <f t="shared" si="10"/>
        <v>1</v>
      </c>
      <c r="T86">
        <f t="shared" si="11"/>
        <v>0</v>
      </c>
    </row>
    <row r="87" spans="1:20">
      <c r="A87" t="s">
        <v>43</v>
      </c>
      <c r="B87" s="3">
        <v>45689</v>
      </c>
      <c r="C87" t="s">
        <v>27</v>
      </c>
      <c r="D87" t="s">
        <v>18</v>
      </c>
      <c r="E87">
        <v>88443.77</v>
      </c>
      <c r="F87">
        <v>4004</v>
      </c>
      <c r="G87">
        <v>0.20599999999999999</v>
      </c>
      <c r="H87">
        <v>11</v>
      </c>
      <c r="I87">
        <v>91.9</v>
      </c>
      <c r="J87">
        <v>5.95</v>
      </c>
      <c r="K87">
        <v>0</v>
      </c>
      <c r="L87" s="6">
        <v>3.92</v>
      </c>
      <c r="M87">
        <v>611766.72</v>
      </c>
      <c r="N87">
        <v>88275.61</v>
      </c>
      <c r="O87">
        <f t="shared" si="6"/>
        <v>0</v>
      </c>
      <c r="P87">
        <f t="shared" si="7"/>
        <v>0</v>
      </c>
      <c r="Q87">
        <f t="shared" si="8"/>
        <v>0</v>
      </c>
      <c r="R87">
        <f t="shared" si="9"/>
        <v>0</v>
      </c>
      <c r="S87">
        <f t="shared" si="10"/>
        <v>1</v>
      </c>
      <c r="T87">
        <f t="shared" si="11"/>
        <v>0</v>
      </c>
    </row>
    <row r="88" spans="1:20">
      <c r="A88" t="s">
        <v>43</v>
      </c>
      <c r="B88" s="3">
        <v>45717</v>
      </c>
      <c r="C88" t="s">
        <v>27</v>
      </c>
      <c r="D88" t="s">
        <v>18</v>
      </c>
      <c r="E88">
        <v>78231.91</v>
      </c>
      <c r="F88">
        <v>3788</v>
      </c>
      <c r="G88">
        <v>5.8999999999999997E-2</v>
      </c>
      <c r="H88">
        <v>11</v>
      </c>
      <c r="I88">
        <v>88.5</v>
      </c>
      <c r="J88">
        <v>15.51</v>
      </c>
      <c r="K88">
        <v>0</v>
      </c>
      <c r="L88">
        <v>4.3</v>
      </c>
      <c r="M88">
        <v>614596.31999999995</v>
      </c>
      <c r="N88">
        <v>131199.41</v>
      </c>
      <c r="O88">
        <f t="shared" si="6"/>
        <v>0</v>
      </c>
      <c r="P88">
        <f t="shared" si="7"/>
        <v>0</v>
      </c>
      <c r="Q88">
        <f t="shared" si="8"/>
        <v>0</v>
      </c>
      <c r="R88">
        <f t="shared" si="9"/>
        <v>0</v>
      </c>
      <c r="S88">
        <f t="shared" si="10"/>
        <v>1</v>
      </c>
      <c r="T88">
        <f t="shared" si="11"/>
        <v>0</v>
      </c>
    </row>
    <row r="89" spans="1:20">
      <c r="A89" t="s">
        <v>43</v>
      </c>
      <c r="B89" s="3">
        <v>45748</v>
      </c>
      <c r="C89" t="s">
        <v>27</v>
      </c>
      <c r="D89" t="s">
        <v>18</v>
      </c>
      <c r="E89">
        <v>18996.32</v>
      </c>
      <c r="F89">
        <v>1260</v>
      </c>
      <c r="G89">
        <v>0.14499999999999999</v>
      </c>
      <c r="H89">
        <v>9</v>
      </c>
      <c r="I89">
        <v>86.4</v>
      </c>
      <c r="J89">
        <v>4.3099999999999996</v>
      </c>
      <c r="K89">
        <v>0</v>
      </c>
      <c r="L89">
        <v>4.5999999999999996</v>
      </c>
      <c r="M89">
        <v>450711.92</v>
      </c>
      <c r="N89">
        <v>90043.76</v>
      </c>
      <c r="O89">
        <f t="shared" si="6"/>
        <v>0</v>
      </c>
      <c r="P89">
        <f t="shared" si="7"/>
        <v>0</v>
      </c>
      <c r="Q89">
        <f t="shared" si="8"/>
        <v>0</v>
      </c>
      <c r="R89">
        <f t="shared" si="9"/>
        <v>0</v>
      </c>
      <c r="S89">
        <f t="shared" si="10"/>
        <v>1</v>
      </c>
      <c r="T89">
        <f t="shared" si="11"/>
        <v>0</v>
      </c>
    </row>
    <row r="90" spans="1:20">
      <c r="A90" t="s">
        <v>44</v>
      </c>
      <c r="B90" s="3">
        <v>45658</v>
      </c>
      <c r="C90" t="s">
        <v>24</v>
      </c>
      <c r="D90" t="s">
        <v>28</v>
      </c>
      <c r="E90">
        <v>50517.94</v>
      </c>
      <c r="F90">
        <v>7024</v>
      </c>
      <c r="G90">
        <v>2.9000000000000001E-2</v>
      </c>
      <c r="H90">
        <v>18</v>
      </c>
      <c r="I90">
        <v>79.2</v>
      </c>
      <c r="J90">
        <v>6.61</v>
      </c>
      <c r="K90">
        <v>1</v>
      </c>
      <c r="L90">
        <v>4.0999999999999996</v>
      </c>
      <c r="M90">
        <v>711213.46</v>
      </c>
      <c r="N90">
        <v>105863.26</v>
      </c>
      <c r="O90">
        <f t="shared" si="6"/>
        <v>0</v>
      </c>
      <c r="P90">
        <f t="shared" si="7"/>
        <v>1</v>
      </c>
      <c r="Q90">
        <f t="shared" si="8"/>
        <v>0</v>
      </c>
      <c r="R90">
        <f t="shared" si="9"/>
        <v>0</v>
      </c>
      <c r="S90">
        <f t="shared" si="10"/>
        <v>0</v>
      </c>
      <c r="T90">
        <f t="shared" si="11"/>
        <v>1</v>
      </c>
    </row>
    <row r="91" spans="1:20">
      <c r="A91" t="s">
        <v>44</v>
      </c>
      <c r="B91" s="3">
        <v>45689</v>
      </c>
      <c r="C91" t="s">
        <v>24</v>
      </c>
      <c r="D91" t="s">
        <v>28</v>
      </c>
      <c r="E91">
        <v>141540.29</v>
      </c>
      <c r="F91">
        <v>5400</v>
      </c>
      <c r="G91">
        <v>1.2999999999999999E-2</v>
      </c>
      <c r="H91">
        <v>12</v>
      </c>
      <c r="I91">
        <v>87</v>
      </c>
      <c r="J91">
        <v>4.26</v>
      </c>
      <c r="K91">
        <v>0</v>
      </c>
      <c r="L91">
        <v>4.5</v>
      </c>
      <c r="M91">
        <v>627171.9</v>
      </c>
      <c r="N91">
        <v>105772.75</v>
      </c>
      <c r="O91">
        <f t="shared" si="6"/>
        <v>0</v>
      </c>
      <c r="P91">
        <f t="shared" si="7"/>
        <v>1</v>
      </c>
      <c r="Q91">
        <f t="shared" si="8"/>
        <v>0</v>
      </c>
      <c r="R91">
        <f t="shared" si="9"/>
        <v>0</v>
      </c>
      <c r="S91">
        <f t="shared" si="10"/>
        <v>0</v>
      </c>
      <c r="T91">
        <f t="shared" si="11"/>
        <v>1</v>
      </c>
    </row>
    <row r="92" spans="1:20">
      <c r="A92" t="s">
        <v>44</v>
      </c>
      <c r="B92" s="3">
        <v>45717</v>
      </c>
      <c r="C92" t="s">
        <v>24</v>
      </c>
      <c r="D92" t="s">
        <v>28</v>
      </c>
      <c r="E92">
        <v>82116.19</v>
      </c>
      <c r="F92">
        <v>5988</v>
      </c>
      <c r="G92">
        <v>0.04</v>
      </c>
      <c r="H92">
        <v>17</v>
      </c>
      <c r="I92">
        <v>91.8</v>
      </c>
      <c r="J92">
        <v>5.75</v>
      </c>
      <c r="K92">
        <v>0</v>
      </c>
      <c r="L92">
        <v>4.7</v>
      </c>
      <c r="M92">
        <v>739852.58</v>
      </c>
      <c r="N92">
        <v>129386.43</v>
      </c>
      <c r="O92">
        <f t="shared" si="6"/>
        <v>0</v>
      </c>
      <c r="P92">
        <f t="shared" si="7"/>
        <v>1</v>
      </c>
      <c r="Q92">
        <f t="shared" si="8"/>
        <v>0</v>
      </c>
      <c r="R92">
        <f t="shared" si="9"/>
        <v>0</v>
      </c>
      <c r="S92">
        <f t="shared" si="10"/>
        <v>0</v>
      </c>
      <c r="T92">
        <f t="shared" si="11"/>
        <v>1</v>
      </c>
    </row>
    <row r="93" spans="1:20">
      <c r="A93" t="s">
        <v>44</v>
      </c>
      <c r="B93" s="3">
        <v>45748</v>
      </c>
      <c r="C93" t="s">
        <v>24</v>
      </c>
      <c r="D93" t="s">
        <v>28</v>
      </c>
      <c r="E93">
        <v>31207.51</v>
      </c>
      <c r="F93">
        <v>3701</v>
      </c>
      <c r="G93">
        <v>4.2999999999999997E-2</v>
      </c>
      <c r="H93">
        <v>11</v>
      </c>
      <c r="I93">
        <v>84.7</v>
      </c>
      <c r="J93">
        <v>0.33</v>
      </c>
      <c r="K93">
        <v>0</v>
      </c>
      <c r="L93">
        <v>4.3</v>
      </c>
      <c r="M93">
        <v>586307.22</v>
      </c>
      <c r="N93">
        <v>73927.850000000006</v>
      </c>
      <c r="O93">
        <f t="shared" si="6"/>
        <v>0</v>
      </c>
      <c r="P93">
        <f t="shared" si="7"/>
        <v>1</v>
      </c>
      <c r="Q93">
        <f t="shared" si="8"/>
        <v>0</v>
      </c>
      <c r="R93">
        <f t="shared" si="9"/>
        <v>0</v>
      </c>
      <c r="S93">
        <f t="shared" si="10"/>
        <v>0</v>
      </c>
      <c r="T93">
        <f t="shared" si="11"/>
        <v>1</v>
      </c>
    </row>
    <row r="94" spans="1:20">
      <c r="A94" t="s">
        <v>45</v>
      </c>
      <c r="B94" s="3">
        <v>45658</v>
      </c>
      <c r="C94" t="s">
        <v>27</v>
      </c>
      <c r="D94" t="s">
        <v>16</v>
      </c>
      <c r="E94">
        <v>38966.589999999997</v>
      </c>
      <c r="F94">
        <v>4509</v>
      </c>
      <c r="G94">
        <v>0.19400000000000001</v>
      </c>
      <c r="H94">
        <v>14</v>
      </c>
      <c r="I94">
        <v>91.1</v>
      </c>
      <c r="J94">
        <v>2.92</v>
      </c>
      <c r="K94">
        <v>0</v>
      </c>
      <c r="L94">
        <v>4.5999999999999996</v>
      </c>
      <c r="M94">
        <v>585937.48</v>
      </c>
      <c r="N94">
        <v>82624.2</v>
      </c>
      <c r="O94">
        <f t="shared" si="6"/>
        <v>0</v>
      </c>
      <c r="P94">
        <f t="shared" si="7"/>
        <v>0</v>
      </c>
      <c r="Q94">
        <f t="shared" si="8"/>
        <v>0</v>
      </c>
      <c r="R94">
        <f t="shared" si="9"/>
        <v>0</v>
      </c>
      <c r="S94">
        <f t="shared" si="10"/>
        <v>0</v>
      </c>
      <c r="T94">
        <f t="shared" si="11"/>
        <v>0</v>
      </c>
    </row>
    <row r="95" spans="1:20">
      <c r="A95" t="s">
        <v>45</v>
      </c>
      <c r="B95" s="3">
        <v>45689</v>
      </c>
      <c r="C95" t="s">
        <v>27</v>
      </c>
      <c r="D95" t="s">
        <v>16</v>
      </c>
      <c r="E95">
        <v>67439.3</v>
      </c>
      <c r="F95">
        <v>6477</v>
      </c>
      <c r="G95">
        <v>0</v>
      </c>
      <c r="H95">
        <v>16</v>
      </c>
      <c r="I95">
        <v>90.9</v>
      </c>
      <c r="J95">
        <v>1.64</v>
      </c>
      <c r="K95">
        <v>0</v>
      </c>
      <c r="L95">
        <v>4.5</v>
      </c>
      <c r="M95">
        <v>753473.55</v>
      </c>
      <c r="N95">
        <v>151527.22</v>
      </c>
      <c r="O95">
        <f t="shared" si="6"/>
        <v>0</v>
      </c>
      <c r="P95">
        <f t="shared" si="7"/>
        <v>0</v>
      </c>
      <c r="Q95">
        <f t="shared" si="8"/>
        <v>0</v>
      </c>
      <c r="R95">
        <f t="shared" si="9"/>
        <v>0</v>
      </c>
      <c r="S95">
        <f t="shared" si="10"/>
        <v>0</v>
      </c>
      <c r="T95">
        <f t="shared" si="11"/>
        <v>0</v>
      </c>
    </row>
    <row r="96" spans="1:20">
      <c r="A96" t="s">
        <v>45</v>
      </c>
      <c r="B96" s="3">
        <v>45717</v>
      </c>
      <c r="C96" t="s">
        <v>27</v>
      </c>
      <c r="D96" t="s">
        <v>16</v>
      </c>
      <c r="E96">
        <v>86421.88</v>
      </c>
      <c r="F96">
        <v>7970</v>
      </c>
      <c r="G96">
        <v>7.2999999999999995E-2</v>
      </c>
      <c r="H96">
        <v>17</v>
      </c>
      <c r="I96">
        <v>91.3</v>
      </c>
      <c r="J96">
        <v>0.8</v>
      </c>
      <c r="K96">
        <v>0</v>
      </c>
      <c r="L96">
        <v>5</v>
      </c>
      <c r="M96">
        <v>838250.32</v>
      </c>
      <c r="N96">
        <v>122939.34</v>
      </c>
      <c r="O96">
        <f t="shared" si="6"/>
        <v>0</v>
      </c>
      <c r="P96">
        <f t="shared" si="7"/>
        <v>0</v>
      </c>
      <c r="Q96">
        <f t="shared" si="8"/>
        <v>0</v>
      </c>
      <c r="R96">
        <f t="shared" si="9"/>
        <v>0</v>
      </c>
      <c r="S96">
        <f t="shared" si="10"/>
        <v>0</v>
      </c>
      <c r="T96">
        <f t="shared" si="11"/>
        <v>0</v>
      </c>
    </row>
    <row r="97" spans="1:20">
      <c r="A97" t="s">
        <v>45</v>
      </c>
      <c r="B97" s="3">
        <v>45748</v>
      </c>
      <c r="C97" t="s">
        <v>27</v>
      </c>
      <c r="D97" t="s">
        <v>16</v>
      </c>
      <c r="E97">
        <v>9534.65</v>
      </c>
      <c r="F97">
        <v>6057</v>
      </c>
      <c r="G97">
        <v>7.3999999999999996E-2</v>
      </c>
      <c r="H97">
        <v>15</v>
      </c>
      <c r="I97">
        <v>94.1</v>
      </c>
      <c r="J97">
        <v>5.79</v>
      </c>
      <c r="K97">
        <v>0</v>
      </c>
      <c r="L97">
        <v>4.5</v>
      </c>
      <c r="M97">
        <v>607898.12</v>
      </c>
      <c r="N97">
        <v>135404.85</v>
      </c>
      <c r="O97">
        <f t="shared" si="6"/>
        <v>0</v>
      </c>
      <c r="P97">
        <f t="shared" si="7"/>
        <v>0</v>
      </c>
      <c r="Q97">
        <f t="shared" si="8"/>
        <v>0</v>
      </c>
      <c r="R97">
        <f t="shared" si="9"/>
        <v>0</v>
      </c>
      <c r="S97">
        <f t="shared" si="10"/>
        <v>0</v>
      </c>
      <c r="T97">
        <f t="shared" si="11"/>
        <v>0</v>
      </c>
    </row>
    <row r="98" spans="1:20">
      <c r="A98" t="s">
        <v>46</v>
      </c>
      <c r="B98" s="3">
        <v>45658</v>
      </c>
      <c r="C98" t="s">
        <v>27</v>
      </c>
      <c r="D98" t="s">
        <v>28</v>
      </c>
      <c r="E98">
        <v>61132.07</v>
      </c>
      <c r="F98">
        <v>6394</v>
      </c>
      <c r="G98">
        <v>0.16300000000000001</v>
      </c>
      <c r="H98">
        <v>19</v>
      </c>
      <c r="I98">
        <v>91</v>
      </c>
      <c r="J98">
        <v>19.600000000000001</v>
      </c>
      <c r="K98">
        <v>0</v>
      </c>
      <c r="L98">
        <v>4.4000000000000004</v>
      </c>
      <c r="M98">
        <v>691113.62</v>
      </c>
      <c r="N98">
        <v>135145.44</v>
      </c>
      <c r="O98">
        <f t="shared" si="6"/>
        <v>0</v>
      </c>
      <c r="P98">
        <f t="shared" si="7"/>
        <v>0</v>
      </c>
      <c r="Q98">
        <f t="shared" si="8"/>
        <v>0</v>
      </c>
      <c r="R98">
        <f t="shared" si="9"/>
        <v>0</v>
      </c>
      <c r="S98">
        <f t="shared" si="10"/>
        <v>0</v>
      </c>
      <c r="T98">
        <f t="shared" si="11"/>
        <v>1</v>
      </c>
    </row>
    <row r="99" spans="1:20">
      <c r="A99" t="s">
        <v>46</v>
      </c>
      <c r="B99" s="3">
        <v>45689</v>
      </c>
      <c r="C99" t="s">
        <v>27</v>
      </c>
      <c r="D99" t="s">
        <v>28</v>
      </c>
      <c r="E99">
        <v>78839.39</v>
      </c>
      <c r="F99">
        <v>5150</v>
      </c>
      <c r="G99">
        <v>0.17100000000000001</v>
      </c>
      <c r="H99">
        <v>13</v>
      </c>
      <c r="I99">
        <v>85.8</v>
      </c>
      <c r="J99">
        <v>7.57</v>
      </c>
      <c r="K99">
        <v>0</v>
      </c>
      <c r="L99">
        <v>4.3</v>
      </c>
      <c r="M99">
        <v>735509.4</v>
      </c>
      <c r="N99">
        <v>83895.96</v>
      </c>
      <c r="O99">
        <f t="shared" si="6"/>
        <v>0</v>
      </c>
      <c r="P99">
        <f t="shared" si="7"/>
        <v>0</v>
      </c>
      <c r="Q99">
        <f t="shared" si="8"/>
        <v>0</v>
      </c>
      <c r="R99">
        <f t="shared" si="9"/>
        <v>0</v>
      </c>
      <c r="S99">
        <f t="shared" si="10"/>
        <v>0</v>
      </c>
      <c r="T99">
        <f t="shared" si="11"/>
        <v>1</v>
      </c>
    </row>
    <row r="100" spans="1:20">
      <c r="A100" t="s">
        <v>46</v>
      </c>
      <c r="B100" s="3">
        <v>45717</v>
      </c>
      <c r="C100" t="s">
        <v>27</v>
      </c>
      <c r="D100" t="s">
        <v>28</v>
      </c>
      <c r="E100">
        <v>38752.800000000003</v>
      </c>
      <c r="F100">
        <v>4712</v>
      </c>
      <c r="G100">
        <v>7.4999999999999997E-2</v>
      </c>
      <c r="H100">
        <v>15</v>
      </c>
      <c r="I100">
        <v>89.7</v>
      </c>
      <c r="J100" s="6">
        <v>4.5599999999999996</v>
      </c>
      <c r="K100">
        <v>0</v>
      </c>
      <c r="L100">
        <v>4.3</v>
      </c>
      <c r="M100">
        <v>605775.32999999996</v>
      </c>
      <c r="N100">
        <v>107194.6</v>
      </c>
      <c r="O100">
        <f t="shared" si="6"/>
        <v>0</v>
      </c>
      <c r="P100">
        <f t="shared" si="7"/>
        <v>0</v>
      </c>
      <c r="Q100">
        <f t="shared" si="8"/>
        <v>0</v>
      </c>
      <c r="R100">
        <f t="shared" si="9"/>
        <v>0</v>
      </c>
      <c r="S100">
        <f t="shared" si="10"/>
        <v>0</v>
      </c>
      <c r="T100">
        <f t="shared" si="11"/>
        <v>1</v>
      </c>
    </row>
    <row r="101" spans="1:20">
      <c r="A101" t="s">
        <v>46</v>
      </c>
      <c r="B101" s="3">
        <v>45748</v>
      </c>
      <c r="C101" t="s">
        <v>27</v>
      </c>
      <c r="D101" t="s">
        <v>28</v>
      </c>
      <c r="E101">
        <v>55101.1</v>
      </c>
      <c r="F101">
        <v>5281</v>
      </c>
      <c r="G101">
        <v>0.189</v>
      </c>
      <c r="H101">
        <v>11</v>
      </c>
      <c r="I101">
        <v>91</v>
      </c>
      <c r="J101">
        <v>2.7</v>
      </c>
      <c r="K101">
        <v>0</v>
      </c>
      <c r="L101">
        <v>4.4000000000000004</v>
      </c>
      <c r="M101">
        <v>675177.68</v>
      </c>
      <c r="N101">
        <v>105628.68</v>
      </c>
      <c r="O101">
        <f t="shared" si="6"/>
        <v>0</v>
      </c>
      <c r="P101">
        <f t="shared" si="7"/>
        <v>0</v>
      </c>
      <c r="Q101">
        <f t="shared" si="8"/>
        <v>0</v>
      </c>
      <c r="R101">
        <f t="shared" si="9"/>
        <v>0</v>
      </c>
      <c r="S101">
        <f t="shared" si="10"/>
        <v>0</v>
      </c>
      <c r="T101">
        <f t="shared" si="11"/>
        <v>1</v>
      </c>
    </row>
    <row r="102" spans="1:20">
      <c r="A102" t="s">
        <v>47</v>
      </c>
      <c r="B102" s="3">
        <v>45658</v>
      </c>
      <c r="C102" t="s">
        <v>15</v>
      </c>
      <c r="D102" t="s">
        <v>28</v>
      </c>
      <c r="E102">
        <v>53084.76</v>
      </c>
      <c r="F102">
        <v>3642</v>
      </c>
      <c r="G102">
        <v>0.15</v>
      </c>
      <c r="H102">
        <v>12</v>
      </c>
      <c r="I102">
        <v>91.4</v>
      </c>
      <c r="J102">
        <v>0.2</v>
      </c>
      <c r="K102">
        <v>0</v>
      </c>
      <c r="L102">
        <v>4.4000000000000004</v>
      </c>
      <c r="M102">
        <v>635181.35</v>
      </c>
      <c r="N102">
        <v>83341.25</v>
      </c>
      <c r="O102">
        <f t="shared" si="6"/>
        <v>0</v>
      </c>
      <c r="P102">
        <f t="shared" si="7"/>
        <v>0</v>
      </c>
      <c r="Q102">
        <f t="shared" si="8"/>
        <v>1</v>
      </c>
      <c r="R102">
        <f t="shared" si="9"/>
        <v>0</v>
      </c>
      <c r="S102">
        <f t="shared" si="10"/>
        <v>0</v>
      </c>
      <c r="T102">
        <f t="shared" si="11"/>
        <v>1</v>
      </c>
    </row>
    <row r="103" spans="1:20">
      <c r="A103" t="s">
        <v>47</v>
      </c>
      <c r="B103" s="3">
        <v>45689</v>
      </c>
      <c r="C103" t="s">
        <v>15</v>
      </c>
      <c r="D103" t="s">
        <v>28</v>
      </c>
      <c r="E103">
        <v>63101.59</v>
      </c>
      <c r="F103">
        <v>4373</v>
      </c>
      <c r="G103">
        <v>0.17299999999999999</v>
      </c>
      <c r="H103">
        <v>14</v>
      </c>
      <c r="I103">
        <v>90.4</v>
      </c>
      <c r="J103">
        <v>7.87</v>
      </c>
      <c r="K103">
        <v>0</v>
      </c>
      <c r="L103">
        <v>4.7</v>
      </c>
      <c r="M103">
        <v>586626.93999999994</v>
      </c>
      <c r="N103">
        <v>86498.55</v>
      </c>
      <c r="O103">
        <f t="shared" si="6"/>
        <v>0</v>
      </c>
      <c r="P103">
        <f t="shared" si="7"/>
        <v>0</v>
      </c>
      <c r="Q103">
        <f t="shared" si="8"/>
        <v>1</v>
      </c>
      <c r="R103">
        <f t="shared" si="9"/>
        <v>0</v>
      </c>
      <c r="S103">
        <f t="shared" si="10"/>
        <v>0</v>
      </c>
      <c r="T103">
        <f t="shared" si="11"/>
        <v>1</v>
      </c>
    </row>
    <row r="104" spans="1:20">
      <c r="A104" t="s">
        <v>47</v>
      </c>
      <c r="B104" s="3">
        <v>45717</v>
      </c>
      <c r="C104" t="s">
        <v>15</v>
      </c>
      <c r="D104" t="s">
        <v>28</v>
      </c>
      <c r="E104">
        <v>90084.4</v>
      </c>
      <c r="F104">
        <v>6832</v>
      </c>
      <c r="G104">
        <v>0.185</v>
      </c>
      <c r="H104">
        <v>14</v>
      </c>
      <c r="I104">
        <v>80.5</v>
      </c>
      <c r="J104">
        <v>0.77</v>
      </c>
      <c r="K104">
        <v>1</v>
      </c>
      <c r="L104">
        <v>4.4000000000000004</v>
      </c>
      <c r="M104">
        <v>740102.64</v>
      </c>
      <c r="N104">
        <v>114299.07</v>
      </c>
      <c r="O104">
        <f t="shared" si="6"/>
        <v>0</v>
      </c>
      <c r="P104">
        <f t="shared" si="7"/>
        <v>0</v>
      </c>
      <c r="Q104">
        <f t="shared" si="8"/>
        <v>1</v>
      </c>
      <c r="R104">
        <f t="shared" si="9"/>
        <v>0</v>
      </c>
      <c r="S104">
        <f t="shared" si="10"/>
        <v>0</v>
      </c>
      <c r="T104">
        <f t="shared" si="11"/>
        <v>1</v>
      </c>
    </row>
    <row r="105" spans="1:20">
      <c r="A105" t="s">
        <v>47</v>
      </c>
      <c r="B105" s="3">
        <v>45748</v>
      </c>
      <c r="C105" t="s">
        <v>15</v>
      </c>
      <c r="D105" t="s">
        <v>28</v>
      </c>
      <c r="E105">
        <v>32266.639999999999</v>
      </c>
      <c r="F105">
        <v>2414</v>
      </c>
      <c r="G105">
        <v>0.08</v>
      </c>
      <c r="H105">
        <v>7</v>
      </c>
      <c r="I105">
        <v>92.1</v>
      </c>
      <c r="J105">
        <v>1.48</v>
      </c>
      <c r="K105">
        <v>0</v>
      </c>
      <c r="L105">
        <v>5</v>
      </c>
      <c r="M105">
        <v>625514.04</v>
      </c>
      <c r="N105">
        <v>120685.08</v>
      </c>
      <c r="O105">
        <f t="shared" si="6"/>
        <v>0</v>
      </c>
      <c r="P105">
        <f t="shared" si="7"/>
        <v>0</v>
      </c>
      <c r="Q105">
        <f t="shared" si="8"/>
        <v>1</v>
      </c>
      <c r="R105">
        <f t="shared" si="9"/>
        <v>0</v>
      </c>
      <c r="S105">
        <f t="shared" si="10"/>
        <v>0</v>
      </c>
      <c r="T105">
        <f t="shared" si="11"/>
        <v>1</v>
      </c>
    </row>
    <row r="106" spans="1:20">
      <c r="A106" t="s">
        <v>48</v>
      </c>
      <c r="B106" s="3">
        <v>45658</v>
      </c>
      <c r="C106" t="s">
        <v>27</v>
      </c>
      <c r="D106" t="s">
        <v>18</v>
      </c>
      <c r="E106">
        <v>57919.07</v>
      </c>
      <c r="F106">
        <v>7374</v>
      </c>
      <c r="G106">
        <v>0.10299999999999999</v>
      </c>
      <c r="H106">
        <v>21</v>
      </c>
      <c r="I106">
        <v>82.3</v>
      </c>
      <c r="J106">
        <v>2.87</v>
      </c>
      <c r="K106">
        <v>0</v>
      </c>
      <c r="L106">
        <v>2.9</v>
      </c>
      <c r="M106">
        <v>727227.2</v>
      </c>
      <c r="N106">
        <v>121292.01</v>
      </c>
      <c r="O106">
        <f t="shared" si="6"/>
        <v>0</v>
      </c>
      <c r="P106">
        <f t="shared" si="7"/>
        <v>0</v>
      </c>
      <c r="Q106">
        <f t="shared" si="8"/>
        <v>0</v>
      </c>
      <c r="R106">
        <f t="shared" si="9"/>
        <v>0</v>
      </c>
      <c r="S106">
        <f t="shared" si="10"/>
        <v>1</v>
      </c>
      <c r="T106">
        <f t="shared" si="11"/>
        <v>0</v>
      </c>
    </row>
    <row r="107" spans="1:20">
      <c r="A107" t="s">
        <v>48</v>
      </c>
      <c r="B107" s="3">
        <v>45689</v>
      </c>
      <c r="C107" t="s">
        <v>27</v>
      </c>
      <c r="D107" t="s">
        <v>18</v>
      </c>
      <c r="E107">
        <v>74679.350000000006</v>
      </c>
      <c r="F107">
        <v>8739</v>
      </c>
      <c r="G107">
        <v>5.6000000000000001E-2</v>
      </c>
      <c r="H107">
        <v>21</v>
      </c>
      <c r="I107">
        <v>91.8</v>
      </c>
      <c r="J107">
        <v>2.83</v>
      </c>
      <c r="K107">
        <v>0</v>
      </c>
      <c r="L107">
        <v>3</v>
      </c>
      <c r="M107">
        <v>783797.89</v>
      </c>
      <c r="N107">
        <v>157620.70000000001</v>
      </c>
      <c r="O107">
        <f t="shared" si="6"/>
        <v>0</v>
      </c>
      <c r="P107">
        <f t="shared" si="7"/>
        <v>0</v>
      </c>
      <c r="Q107">
        <f t="shared" si="8"/>
        <v>0</v>
      </c>
      <c r="R107">
        <f t="shared" si="9"/>
        <v>0</v>
      </c>
      <c r="S107">
        <f t="shared" si="10"/>
        <v>1</v>
      </c>
      <c r="T107">
        <f t="shared" si="11"/>
        <v>0</v>
      </c>
    </row>
    <row r="108" spans="1:20">
      <c r="A108" t="s">
        <v>48</v>
      </c>
      <c r="B108" s="3">
        <v>45717</v>
      </c>
      <c r="C108" t="s">
        <v>27</v>
      </c>
      <c r="D108" t="s">
        <v>18</v>
      </c>
      <c r="E108">
        <v>64294.23</v>
      </c>
      <c r="F108">
        <v>6992</v>
      </c>
      <c r="G108">
        <v>0.13300000000000001</v>
      </c>
      <c r="H108">
        <v>14</v>
      </c>
      <c r="I108">
        <v>94.1</v>
      </c>
      <c r="J108">
        <v>0.25</v>
      </c>
      <c r="K108">
        <v>0</v>
      </c>
      <c r="L108">
        <v>3</v>
      </c>
      <c r="M108">
        <v>795153.84</v>
      </c>
      <c r="N108">
        <v>143194.21</v>
      </c>
      <c r="O108">
        <f t="shared" si="6"/>
        <v>0</v>
      </c>
      <c r="P108">
        <f t="shared" si="7"/>
        <v>0</v>
      </c>
      <c r="Q108">
        <f t="shared" si="8"/>
        <v>0</v>
      </c>
      <c r="R108">
        <f t="shared" si="9"/>
        <v>0</v>
      </c>
      <c r="S108">
        <f t="shared" si="10"/>
        <v>1</v>
      </c>
      <c r="T108">
        <f t="shared" si="11"/>
        <v>0</v>
      </c>
    </row>
    <row r="109" spans="1:20">
      <c r="A109" t="s">
        <v>48</v>
      </c>
      <c r="B109" s="3">
        <v>45748</v>
      </c>
      <c r="C109" t="s">
        <v>27</v>
      </c>
      <c r="D109" t="s">
        <v>18</v>
      </c>
      <c r="E109">
        <v>31042.03</v>
      </c>
      <c r="F109">
        <v>7107</v>
      </c>
      <c r="G109">
        <v>5.0999999999999997E-2</v>
      </c>
      <c r="H109">
        <v>15</v>
      </c>
      <c r="I109">
        <v>87</v>
      </c>
      <c r="J109">
        <v>13.33</v>
      </c>
      <c r="K109">
        <v>0</v>
      </c>
      <c r="L109">
        <v>3.2</v>
      </c>
      <c r="M109">
        <v>665594.93999999994</v>
      </c>
      <c r="N109">
        <v>127597.34</v>
      </c>
      <c r="O109">
        <f t="shared" si="6"/>
        <v>0</v>
      </c>
      <c r="P109">
        <f t="shared" si="7"/>
        <v>0</v>
      </c>
      <c r="Q109">
        <f t="shared" si="8"/>
        <v>0</v>
      </c>
      <c r="R109">
        <f t="shared" si="9"/>
        <v>0</v>
      </c>
      <c r="S109">
        <f t="shared" si="10"/>
        <v>1</v>
      </c>
      <c r="T109">
        <f t="shared" si="11"/>
        <v>0</v>
      </c>
    </row>
    <row r="110" spans="1:20">
      <c r="A110" t="s">
        <v>49</v>
      </c>
      <c r="B110" s="3">
        <v>45658</v>
      </c>
      <c r="C110" t="s">
        <v>15</v>
      </c>
      <c r="D110" t="s">
        <v>28</v>
      </c>
      <c r="E110">
        <v>75265.02</v>
      </c>
      <c r="F110">
        <v>6975</v>
      </c>
      <c r="G110">
        <v>0.157</v>
      </c>
      <c r="H110">
        <v>20</v>
      </c>
      <c r="I110">
        <v>73.8</v>
      </c>
      <c r="J110">
        <v>6.35</v>
      </c>
      <c r="K110">
        <v>1</v>
      </c>
      <c r="L110">
        <v>3.8</v>
      </c>
      <c r="M110">
        <v>709478.39</v>
      </c>
      <c r="N110">
        <v>71294.27</v>
      </c>
      <c r="O110">
        <f t="shared" si="6"/>
        <v>0</v>
      </c>
      <c r="P110">
        <f t="shared" si="7"/>
        <v>0</v>
      </c>
      <c r="Q110">
        <f t="shared" si="8"/>
        <v>1</v>
      </c>
      <c r="R110">
        <f t="shared" si="9"/>
        <v>0</v>
      </c>
      <c r="S110">
        <f t="shared" si="10"/>
        <v>0</v>
      </c>
      <c r="T110">
        <f t="shared" si="11"/>
        <v>1</v>
      </c>
    </row>
    <row r="111" spans="1:20">
      <c r="A111" t="s">
        <v>49</v>
      </c>
      <c r="B111" s="3">
        <v>45689</v>
      </c>
      <c r="C111" t="s">
        <v>15</v>
      </c>
      <c r="D111" t="s">
        <v>28</v>
      </c>
      <c r="E111">
        <v>69411.7</v>
      </c>
      <c r="F111">
        <v>5493</v>
      </c>
      <c r="G111">
        <v>0.29199999999999998</v>
      </c>
      <c r="H111">
        <v>13</v>
      </c>
      <c r="I111">
        <v>86.5</v>
      </c>
      <c r="J111">
        <v>6.69</v>
      </c>
      <c r="K111">
        <v>0</v>
      </c>
      <c r="L111">
        <v>3.8</v>
      </c>
      <c r="M111">
        <v>664162.49</v>
      </c>
      <c r="N111">
        <v>98291.06</v>
      </c>
      <c r="O111">
        <f t="shared" si="6"/>
        <v>0</v>
      </c>
      <c r="P111">
        <f t="shared" si="7"/>
        <v>0</v>
      </c>
      <c r="Q111">
        <f t="shared" si="8"/>
        <v>1</v>
      </c>
      <c r="R111">
        <f t="shared" si="9"/>
        <v>0</v>
      </c>
      <c r="S111">
        <f t="shared" si="10"/>
        <v>0</v>
      </c>
      <c r="T111">
        <f t="shared" si="11"/>
        <v>1</v>
      </c>
    </row>
    <row r="112" spans="1:20">
      <c r="A112" t="s">
        <v>49</v>
      </c>
      <c r="B112" s="3">
        <v>45717</v>
      </c>
      <c r="C112" t="s">
        <v>15</v>
      </c>
      <c r="D112" t="s">
        <v>28</v>
      </c>
      <c r="E112">
        <v>51056.15</v>
      </c>
      <c r="F112">
        <v>5686</v>
      </c>
      <c r="G112">
        <v>8.8999999999999996E-2</v>
      </c>
      <c r="H112">
        <v>13</v>
      </c>
      <c r="I112">
        <v>89.9</v>
      </c>
      <c r="J112">
        <v>1.28</v>
      </c>
      <c r="K112">
        <v>0</v>
      </c>
      <c r="L112">
        <v>4.2</v>
      </c>
      <c r="M112">
        <v>633494.21</v>
      </c>
      <c r="N112">
        <v>105739.47</v>
      </c>
      <c r="O112">
        <f t="shared" si="6"/>
        <v>0</v>
      </c>
      <c r="P112">
        <f t="shared" si="7"/>
        <v>0</v>
      </c>
      <c r="Q112">
        <f t="shared" si="8"/>
        <v>1</v>
      </c>
      <c r="R112">
        <f t="shared" si="9"/>
        <v>0</v>
      </c>
      <c r="S112">
        <f t="shared" si="10"/>
        <v>0</v>
      </c>
      <c r="T112">
        <f t="shared" si="11"/>
        <v>1</v>
      </c>
    </row>
    <row r="113" spans="1:20">
      <c r="A113" t="s">
        <v>49</v>
      </c>
      <c r="B113" s="3">
        <v>45748</v>
      </c>
      <c r="C113" t="s">
        <v>15</v>
      </c>
      <c r="D113" t="s">
        <v>28</v>
      </c>
      <c r="E113">
        <v>52758.01</v>
      </c>
      <c r="F113">
        <v>4063</v>
      </c>
      <c r="G113">
        <v>5.7000000000000002E-2</v>
      </c>
      <c r="H113">
        <v>12</v>
      </c>
      <c r="I113">
        <v>91.7</v>
      </c>
      <c r="J113">
        <v>0.92</v>
      </c>
      <c r="K113">
        <v>0</v>
      </c>
      <c r="L113">
        <v>3.5</v>
      </c>
      <c r="M113">
        <v>713611.16</v>
      </c>
      <c r="N113">
        <v>129717.18</v>
      </c>
      <c r="O113">
        <f t="shared" si="6"/>
        <v>0</v>
      </c>
      <c r="P113">
        <f t="shared" si="7"/>
        <v>0</v>
      </c>
      <c r="Q113">
        <f t="shared" si="8"/>
        <v>1</v>
      </c>
      <c r="R113">
        <f t="shared" si="9"/>
        <v>0</v>
      </c>
      <c r="S113">
        <f t="shared" si="10"/>
        <v>0</v>
      </c>
      <c r="T113">
        <f t="shared" si="11"/>
        <v>1</v>
      </c>
    </row>
    <row r="114" spans="1:20">
      <c r="A114" t="s">
        <v>50</v>
      </c>
      <c r="B114" s="3">
        <v>45658</v>
      </c>
      <c r="C114" t="s">
        <v>27</v>
      </c>
      <c r="D114" t="s">
        <v>28</v>
      </c>
      <c r="E114">
        <v>61426.04</v>
      </c>
      <c r="F114">
        <v>8966</v>
      </c>
      <c r="G114">
        <v>0.17299999999999999</v>
      </c>
      <c r="H114">
        <v>22</v>
      </c>
      <c r="I114">
        <v>76.400000000000006</v>
      </c>
      <c r="J114">
        <v>1.05</v>
      </c>
      <c r="K114">
        <v>0</v>
      </c>
      <c r="L114">
        <v>3.1</v>
      </c>
      <c r="M114">
        <v>778397.97</v>
      </c>
      <c r="N114">
        <v>120044.41</v>
      </c>
      <c r="O114">
        <f t="shared" si="6"/>
        <v>0</v>
      </c>
      <c r="P114">
        <f t="shared" si="7"/>
        <v>0</v>
      </c>
      <c r="Q114">
        <f t="shared" si="8"/>
        <v>0</v>
      </c>
      <c r="R114">
        <f t="shared" si="9"/>
        <v>0</v>
      </c>
      <c r="S114">
        <f t="shared" si="10"/>
        <v>0</v>
      </c>
      <c r="T114">
        <f t="shared" si="11"/>
        <v>1</v>
      </c>
    </row>
    <row r="115" spans="1:20">
      <c r="A115" t="s">
        <v>50</v>
      </c>
      <c r="B115" s="3">
        <v>45689</v>
      </c>
      <c r="C115" t="s">
        <v>27</v>
      </c>
      <c r="D115" t="s">
        <v>28</v>
      </c>
      <c r="E115">
        <v>80176.34</v>
      </c>
      <c r="F115">
        <v>9489</v>
      </c>
      <c r="G115">
        <v>0.14199999999999999</v>
      </c>
      <c r="H115">
        <v>22</v>
      </c>
      <c r="I115">
        <v>94.3</v>
      </c>
      <c r="J115">
        <v>2.67</v>
      </c>
      <c r="K115">
        <v>0</v>
      </c>
      <c r="L115">
        <v>3.5</v>
      </c>
      <c r="M115">
        <v>873380.02</v>
      </c>
      <c r="N115">
        <v>149734.76</v>
      </c>
      <c r="O115">
        <f t="shared" si="6"/>
        <v>0</v>
      </c>
      <c r="P115">
        <f t="shared" si="7"/>
        <v>0</v>
      </c>
      <c r="Q115">
        <f t="shared" si="8"/>
        <v>0</v>
      </c>
      <c r="R115">
        <f t="shared" si="9"/>
        <v>0</v>
      </c>
      <c r="S115">
        <f t="shared" si="10"/>
        <v>0</v>
      </c>
      <c r="T115">
        <f t="shared" si="11"/>
        <v>1</v>
      </c>
    </row>
    <row r="116" spans="1:20">
      <c r="A116" t="s">
        <v>50</v>
      </c>
      <c r="B116" s="3">
        <v>45717</v>
      </c>
      <c r="C116" t="s">
        <v>27</v>
      </c>
      <c r="D116" t="s">
        <v>28</v>
      </c>
      <c r="E116">
        <v>33605.18</v>
      </c>
      <c r="F116">
        <v>9225</v>
      </c>
      <c r="G116">
        <v>0.159</v>
      </c>
      <c r="H116">
        <v>23</v>
      </c>
      <c r="I116">
        <v>88.4</v>
      </c>
      <c r="J116">
        <v>5.91</v>
      </c>
      <c r="K116">
        <v>0</v>
      </c>
      <c r="L116">
        <v>2.8</v>
      </c>
      <c r="M116">
        <v>697287.9</v>
      </c>
      <c r="N116">
        <v>128208.33</v>
      </c>
      <c r="O116">
        <f t="shared" si="6"/>
        <v>0</v>
      </c>
      <c r="P116">
        <f t="shared" si="7"/>
        <v>0</v>
      </c>
      <c r="Q116">
        <f t="shared" si="8"/>
        <v>0</v>
      </c>
      <c r="R116">
        <f t="shared" si="9"/>
        <v>0</v>
      </c>
      <c r="S116">
        <f t="shared" si="10"/>
        <v>0</v>
      </c>
      <c r="T116">
        <f t="shared" si="11"/>
        <v>1</v>
      </c>
    </row>
    <row r="117" spans="1:20">
      <c r="A117" t="s">
        <v>50</v>
      </c>
      <c r="B117" s="3">
        <v>45748</v>
      </c>
      <c r="C117" t="s">
        <v>27</v>
      </c>
      <c r="D117" t="s">
        <v>28</v>
      </c>
      <c r="E117">
        <v>25990.54</v>
      </c>
      <c r="F117">
        <v>9249</v>
      </c>
      <c r="G117">
        <v>0.13900000000000001</v>
      </c>
      <c r="H117">
        <v>23</v>
      </c>
      <c r="I117">
        <v>92.5</v>
      </c>
      <c r="J117">
        <v>6.37</v>
      </c>
      <c r="K117">
        <v>0</v>
      </c>
      <c r="L117">
        <v>3.3</v>
      </c>
      <c r="M117">
        <v>718074.79</v>
      </c>
      <c r="N117">
        <v>115819.87</v>
      </c>
      <c r="O117">
        <f t="shared" si="6"/>
        <v>0</v>
      </c>
      <c r="P117">
        <f t="shared" si="7"/>
        <v>0</v>
      </c>
      <c r="Q117">
        <f t="shared" si="8"/>
        <v>0</v>
      </c>
      <c r="R117">
        <f t="shared" si="9"/>
        <v>0</v>
      </c>
      <c r="S117">
        <f t="shared" si="10"/>
        <v>0</v>
      </c>
      <c r="T117">
        <f t="shared" si="11"/>
        <v>1</v>
      </c>
    </row>
    <row r="118" spans="1:20">
      <c r="A118" t="s">
        <v>51</v>
      </c>
      <c r="B118" s="3">
        <v>45658</v>
      </c>
      <c r="C118" t="s">
        <v>27</v>
      </c>
      <c r="D118" t="s">
        <v>16</v>
      </c>
      <c r="E118">
        <v>43685.14</v>
      </c>
      <c r="F118">
        <v>7821</v>
      </c>
      <c r="G118">
        <v>0.19</v>
      </c>
      <c r="H118">
        <v>17</v>
      </c>
      <c r="I118">
        <v>91</v>
      </c>
      <c r="J118">
        <v>2.4900000000000002</v>
      </c>
      <c r="K118">
        <v>1</v>
      </c>
      <c r="L118">
        <v>4.7</v>
      </c>
      <c r="M118">
        <v>714942.43</v>
      </c>
      <c r="N118">
        <v>94697.71</v>
      </c>
      <c r="O118">
        <f t="shared" si="6"/>
        <v>0</v>
      </c>
      <c r="P118">
        <f t="shared" si="7"/>
        <v>0</v>
      </c>
      <c r="Q118">
        <f t="shared" si="8"/>
        <v>0</v>
      </c>
      <c r="R118">
        <f t="shared" si="9"/>
        <v>0</v>
      </c>
      <c r="S118">
        <f t="shared" si="10"/>
        <v>0</v>
      </c>
      <c r="T118">
        <f t="shared" si="11"/>
        <v>0</v>
      </c>
    </row>
    <row r="119" spans="1:20">
      <c r="A119" t="s">
        <v>51</v>
      </c>
      <c r="B119" s="3">
        <v>45689</v>
      </c>
      <c r="C119" t="s">
        <v>27</v>
      </c>
      <c r="D119" t="s">
        <v>16</v>
      </c>
      <c r="E119">
        <v>57360.01</v>
      </c>
      <c r="F119">
        <v>8434</v>
      </c>
      <c r="G119">
        <v>0.151</v>
      </c>
      <c r="H119">
        <v>19</v>
      </c>
      <c r="I119">
        <v>84.1</v>
      </c>
      <c r="J119">
        <v>1.56</v>
      </c>
      <c r="K119">
        <v>0</v>
      </c>
      <c r="L119">
        <v>4.7</v>
      </c>
      <c r="M119">
        <v>820519.04</v>
      </c>
      <c r="N119">
        <v>99035.88</v>
      </c>
      <c r="O119">
        <f t="shared" si="6"/>
        <v>0</v>
      </c>
      <c r="P119">
        <f t="shared" si="7"/>
        <v>0</v>
      </c>
      <c r="Q119">
        <f t="shared" si="8"/>
        <v>0</v>
      </c>
      <c r="R119">
        <f t="shared" si="9"/>
        <v>0</v>
      </c>
      <c r="S119">
        <f t="shared" si="10"/>
        <v>0</v>
      </c>
      <c r="T119">
        <f t="shared" si="11"/>
        <v>0</v>
      </c>
    </row>
    <row r="120" spans="1:20">
      <c r="A120" t="s">
        <v>51</v>
      </c>
      <c r="B120" s="3">
        <v>45717</v>
      </c>
      <c r="C120" t="s">
        <v>27</v>
      </c>
      <c r="D120" t="s">
        <v>16</v>
      </c>
      <c r="E120">
        <v>42415.47</v>
      </c>
      <c r="F120">
        <v>8512</v>
      </c>
      <c r="G120">
        <v>0.13300000000000001</v>
      </c>
      <c r="H120">
        <v>18</v>
      </c>
      <c r="I120">
        <v>96.8</v>
      </c>
      <c r="J120">
        <v>14.95</v>
      </c>
      <c r="K120">
        <v>0</v>
      </c>
      <c r="L120">
        <v>4.5999999999999996</v>
      </c>
      <c r="M120">
        <v>684217.32</v>
      </c>
      <c r="N120">
        <v>136217.19</v>
      </c>
      <c r="O120">
        <f t="shared" si="6"/>
        <v>0</v>
      </c>
      <c r="P120">
        <f t="shared" si="7"/>
        <v>0</v>
      </c>
      <c r="Q120">
        <f t="shared" si="8"/>
        <v>0</v>
      </c>
      <c r="R120">
        <f t="shared" si="9"/>
        <v>0</v>
      </c>
      <c r="S120">
        <f t="shared" si="10"/>
        <v>0</v>
      </c>
      <c r="T120">
        <f t="shared" si="11"/>
        <v>0</v>
      </c>
    </row>
    <row r="121" spans="1:20">
      <c r="A121" t="s">
        <v>51</v>
      </c>
      <c r="B121" s="3">
        <v>45748</v>
      </c>
      <c r="C121" t="s">
        <v>27</v>
      </c>
      <c r="D121" t="s">
        <v>16</v>
      </c>
      <c r="E121">
        <v>54968.98</v>
      </c>
      <c r="F121">
        <v>7816</v>
      </c>
      <c r="G121">
        <v>0.23200000000000001</v>
      </c>
      <c r="H121">
        <v>19</v>
      </c>
      <c r="I121">
        <v>95.7</v>
      </c>
      <c r="J121">
        <v>7.85</v>
      </c>
      <c r="K121">
        <v>0</v>
      </c>
      <c r="L121">
        <v>4.7</v>
      </c>
      <c r="M121">
        <v>735480.19</v>
      </c>
      <c r="N121">
        <v>88342.11</v>
      </c>
      <c r="O121">
        <f t="shared" si="6"/>
        <v>0</v>
      </c>
      <c r="P121">
        <f t="shared" si="7"/>
        <v>0</v>
      </c>
      <c r="Q121">
        <f t="shared" si="8"/>
        <v>0</v>
      </c>
      <c r="R121">
        <f t="shared" si="9"/>
        <v>0</v>
      </c>
      <c r="S121">
        <f t="shared" si="10"/>
        <v>0</v>
      </c>
      <c r="T121">
        <f t="shared" si="11"/>
        <v>0</v>
      </c>
    </row>
    <row r="122" spans="1:20">
      <c r="A122" t="s">
        <v>52</v>
      </c>
      <c r="B122" s="3">
        <v>45658</v>
      </c>
      <c r="C122" t="s">
        <v>20</v>
      </c>
      <c r="D122" t="s">
        <v>18</v>
      </c>
      <c r="E122">
        <v>43896.13</v>
      </c>
      <c r="F122">
        <v>3853</v>
      </c>
      <c r="G122">
        <v>8.7999999999999995E-2</v>
      </c>
      <c r="H122">
        <v>13</v>
      </c>
      <c r="I122">
        <v>83</v>
      </c>
      <c r="J122">
        <v>6.8</v>
      </c>
      <c r="K122">
        <v>0</v>
      </c>
      <c r="L122">
        <v>4.4000000000000004</v>
      </c>
      <c r="M122">
        <v>509484.81</v>
      </c>
      <c r="N122">
        <v>85742.36</v>
      </c>
      <c r="O122">
        <f t="shared" si="6"/>
        <v>1</v>
      </c>
      <c r="P122">
        <f t="shared" si="7"/>
        <v>0</v>
      </c>
      <c r="Q122">
        <f t="shared" si="8"/>
        <v>0</v>
      </c>
      <c r="R122">
        <f t="shared" si="9"/>
        <v>0</v>
      </c>
      <c r="S122">
        <f t="shared" si="10"/>
        <v>1</v>
      </c>
      <c r="T122">
        <f t="shared" si="11"/>
        <v>0</v>
      </c>
    </row>
    <row r="123" spans="1:20">
      <c r="A123" t="s">
        <v>52</v>
      </c>
      <c r="B123" s="3">
        <v>45689</v>
      </c>
      <c r="C123" t="s">
        <v>20</v>
      </c>
      <c r="D123" t="s">
        <v>18</v>
      </c>
      <c r="E123">
        <v>83044.17</v>
      </c>
      <c r="F123">
        <v>3694</v>
      </c>
      <c r="G123">
        <v>0</v>
      </c>
      <c r="H123">
        <v>14</v>
      </c>
      <c r="I123">
        <v>89.4</v>
      </c>
      <c r="J123">
        <v>2.2000000000000002</v>
      </c>
      <c r="K123">
        <v>0</v>
      </c>
      <c r="L123">
        <v>3.7</v>
      </c>
      <c r="M123">
        <v>654317.09</v>
      </c>
      <c r="N123">
        <v>121446.89</v>
      </c>
      <c r="O123">
        <f t="shared" si="6"/>
        <v>1</v>
      </c>
      <c r="P123">
        <f t="shared" si="7"/>
        <v>0</v>
      </c>
      <c r="Q123">
        <f t="shared" si="8"/>
        <v>0</v>
      </c>
      <c r="R123">
        <f t="shared" si="9"/>
        <v>0</v>
      </c>
      <c r="S123">
        <f t="shared" si="10"/>
        <v>1</v>
      </c>
      <c r="T123">
        <f t="shared" si="11"/>
        <v>0</v>
      </c>
    </row>
    <row r="124" spans="1:20">
      <c r="A124" t="s">
        <v>52</v>
      </c>
      <c r="B124" s="3">
        <v>45717</v>
      </c>
      <c r="C124" t="s">
        <v>20</v>
      </c>
      <c r="D124" t="s">
        <v>18</v>
      </c>
      <c r="E124">
        <v>48396.13</v>
      </c>
      <c r="F124">
        <v>4423</v>
      </c>
      <c r="G124">
        <v>6.9000000000000006E-2</v>
      </c>
      <c r="H124">
        <v>15</v>
      </c>
      <c r="I124">
        <v>85.7</v>
      </c>
      <c r="J124">
        <v>1.88</v>
      </c>
      <c r="K124">
        <v>0</v>
      </c>
      <c r="L124">
        <v>3.9</v>
      </c>
      <c r="M124">
        <v>557487.26</v>
      </c>
      <c r="N124">
        <v>76432.19</v>
      </c>
      <c r="O124">
        <f t="shared" si="6"/>
        <v>1</v>
      </c>
      <c r="P124">
        <f t="shared" si="7"/>
        <v>0</v>
      </c>
      <c r="Q124">
        <f t="shared" si="8"/>
        <v>0</v>
      </c>
      <c r="R124">
        <f t="shared" si="9"/>
        <v>0</v>
      </c>
      <c r="S124">
        <f t="shared" si="10"/>
        <v>1</v>
      </c>
      <c r="T124">
        <f t="shared" si="11"/>
        <v>0</v>
      </c>
    </row>
    <row r="125" spans="1:20">
      <c r="A125" t="s">
        <v>52</v>
      </c>
      <c r="B125" s="3">
        <v>45748</v>
      </c>
      <c r="C125" t="s">
        <v>20</v>
      </c>
      <c r="D125" t="s">
        <v>18</v>
      </c>
      <c r="E125">
        <v>19063.48</v>
      </c>
      <c r="F125">
        <v>1906</v>
      </c>
      <c r="G125">
        <v>0.216</v>
      </c>
      <c r="H125">
        <v>10</v>
      </c>
      <c r="I125">
        <v>97.8</v>
      </c>
      <c r="J125">
        <v>15.79</v>
      </c>
      <c r="K125">
        <v>0</v>
      </c>
      <c r="L125">
        <v>4.4000000000000004</v>
      </c>
      <c r="M125">
        <v>441275.42</v>
      </c>
      <c r="N125">
        <v>58234.87</v>
      </c>
      <c r="O125">
        <f t="shared" si="6"/>
        <v>1</v>
      </c>
      <c r="P125">
        <f t="shared" si="7"/>
        <v>0</v>
      </c>
      <c r="Q125">
        <f t="shared" si="8"/>
        <v>0</v>
      </c>
      <c r="R125">
        <f t="shared" si="9"/>
        <v>0</v>
      </c>
      <c r="S125">
        <f t="shared" si="10"/>
        <v>1</v>
      </c>
      <c r="T125">
        <f t="shared" si="11"/>
        <v>0</v>
      </c>
    </row>
    <row r="126" spans="1:20">
      <c r="A126" t="s">
        <v>53</v>
      </c>
      <c r="B126" s="3">
        <v>45658</v>
      </c>
      <c r="C126" t="s">
        <v>24</v>
      </c>
      <c r="D126" t="s">
        <v>18</v>
      </c>
      <c r="E126">
        <v>61541.21</v>
      </c>
      <c r="F126">
        <v>10396</v>
      </c>
      <c r="G126">
        <v>0.123</v>
      </c>
      <c r="H126">
        <v>25</v>
      </c>
      <c r="I126">
        <v>88.1</v>
      </c>
      <c r="J126">
        <v>2.34</v>
      </c>
      <c r="K126">
        <v>1</v>
      </c>
      <c r="L126">
        <v>4.8</v>
      </c>
      <c r="M126">
        <v>914544.17</v>
      </c>
      <c r="N126">
        <v>79831.73</v>
      </c>
      <c r="O126">
        <f t="shared" si="6"/>
        <v>0</v>
      </c>
      <c r="P126">
        <f t="shared" si="7"/>
        <v>1</v>
      </c>
      <c r="Q126">
        <f t="shared" si="8"/>
        <v>0</v>
      </c>
      <c r="R126">
        <f t="shared" si="9"/>
        <v>0</v>
      </c>
      <c r="S126">
        <f t="shared" si="10"/>
        <v>1</v>
      </c>
      <c r="T126">
        <f t="shared" si="11"/>
        <v>0</v>
      </c>
    </row>
    <row r="127" spans="1:20">
      <c r="A127" t="s">
        <v>53</v>
      </c>
      <c r="B127" s="3">
        <v>45689</v>
      </c>
      <c r="C127" t="s">
        <v>24</v>
      </c>
      <c r="D127" t="s">
        <v>18</v>
      </c>
      <c r="E127">
        <v>44747</v>
      </c>
      <c r="F127">
        <v>11076</v>
      </c>
      <c r="G127">
        <v>0.17599999999999999</v>
      </c>
      <c r="H127">
        <v>27</v>
      </c>
      <c r="I127">
        <v>98.3</v>
      </c>
      <c r="J127">
        <v>0.54</v>
      </c>
      <c r="K127">
        <v>0</v>
      </c>
      <c r="L127">
        <v>4.4000000000000004</v>
      </c>
      <c r="M127">
        <v>842439.67</v>
      </c>
      <c r="N127">
        <v>169983.63</v>
      </c>
      <c r="O127">
        <f t="shared" si="6"/>
        <v>0</v>
      </c>
      <c r="P127">
        <f t="shared" si="7"/>
        <v>1</v>
      </c>
      <c r="Q127">
        <f t="shared" si="8"/>
        <v>0</v>
      </c>
      <c r="R127">
        <f t="shared" si="9"/>
        <v>0</v>
      </c>
      <c r="S127">
        <f t="shared" si="10"/>
        <v>1</v>
      </c>
      <c r="T127">
        <f t="shared" si="11"/>
        <v>0</v>
      </c>
    </row>
    <row r="128" spans="1:20">
      <c r="A128" t="s">
        <v>53</v>
      </c>
      <c r="B128" s="3">
        <v>45717</v>
      </c>
      <c r="C128" t="s">
        <v>24</v>
      </c>
      <c r="D128" t="s">
        <v>18</v>
      </c>
      <c r="E128">
        <v>56517.9</v>
      </c>
      <c r="F128">
        <v>9574</v>
      </c>
      <c r="G128">
        <v>0.20399999999999999</v>
      </c>
      <c r="H128">
        <v>20</v>
      </c>
      <c r="I128">
        <v>88.2</v>
      </c>
      <c r="J128">
        <v>5.37</v>
      </c>
      <c r="K128">
        <v>1</v>
      </c>
      <c r="L128">
        <v>4.9000000000000004</v>
      </c>
      <c r="M128">
        <v>842157.92</v>
      </c>
      <c r="N128">
        <v>107348.22</v>
      </c>
      <c r="O128">
        <f t="shared" si="6"/>
        <v>0</v>
      </c>
      <c r="P128">
        <f t="shared" si="7"/>
        <v>1</v>
      </c>
      <c r="Q128">
        <f t="shared" si="8"/>
        <v>0</v>
      </c>
      <c r="R128">
        <f t="shared" si="9"/>
        <v>0</v>
      </c>
      <c r="S128">
        <f t="shared" si="10"/>
        <v>1</v>
      </c>
      <c r="T128">
        <f t="shared" si="11"/>
        <v>0</v>
      </c>
    </row>
    <row r="129" spans="1:20">
      <c r="A129" t="s">
        <v>53</v>
      </c>
      <c r="B129" s="3">
        <v>45748</v>
      </c>
      <c r="C129" t="s">
        <v>24</v>
      </c>
      <c r="D129" t="s">
        <v>18</v>
      </c>
      <c r="E129">
        <v>37828.5</v>
      </c>
      <c r="F129">
        <v>8221</v>
      </c>
      <c r="G129">
        <v>9.6000000000000002E-2</v>
      </c>
      <c r="H129">
        <v>19</v>
      </c>
      <c r="I129">
        <v>81.5</v>
      </c>
      <c r="J129">
        <v>3.19</v>
      </c>
      <c r="K129">
        <v>0</v>
      </c>
      <c r="L129">
        <v>4.8</v>
      </c>
      <c r="M129">
        <v>697155.3</v>
      </c>
      <c r="N129">
        <v>136408.54</v>
      </c>
      <c r="O129">
        <f t="shared" si="6"/>
        <v>0</v>
      </c>
      <c r="P129">
        <f t="shared" si="7"/>
        <v>1</v>
      </c>
      <c r="Q129">
        <f t="shared" si="8"/>
        <v>0</v>
      </c>
      <c r="R129">
        <f t="shared" si="9"/>
        <v>0</v>
      </c>
      <c r="S129">
        <f t="shared" si="10"/>
        <v>1</v>
      </c>
      <c r="T129">
        <f t="shared" si="11"/>
        <v>0</v>
      </c>
    </row>
    <row r="130" spans="1:20">
      <c r="A130" t="s">
        <v>54</v>
      </c>
      <c r="B130" s="3">
        <v>45658</v>
      </c>
      <c r="C130" t="s">
        <v>15</v>
      </c>
      <c r="D130" t="s">
        <v>18</v>
      </c>
      <c r="E130">
        <v>66250.53</v>
      </c>
      <c r="F130">
        <v>10618</v>
      </c>
      <c r="G130">
        <v>0.14199999999999999</v>
      </c>
      <c r="H130">
        <v>27</v>
      </c>
      <c r="I130">
        <v>88.3</v>
      </c>
      <c r="J130">
        <v>1.1000000000000001</v>
      </c>
      <c r="K130">
        <v>1</v>
      </c>
      <c r="L130">
        <v>4.4000000000000004</v>
      </c>
      <c r="M130">
        <v>849018.3</v>
      </c>
      <c r="N130">
        <v>149035.13</v>
      </c>
      <c r="O130">
        <f t="shared" si="6"/>
        <v>0</v>
      </c>
      <c r="P130">
        <f t="shared" si="7"/>
        <v>0</v>
      </c>
      <c r="Q130">
        <f t="shared" si="8"/>
        <v>1</v>
      </c>
      <c r="R130">
        <f t="shared" si="9"/>
        <v>0</v>
      </c>
      <c r="S130">
        <f t="shared" si="10"/>
        <v>1</v>
      </c>
      <c r="T130">
        <f t="shared" si="11"/>
        <v>0</v>
      </c>
    </row>
    <row r="131" spans="1:20">
      <c r="A131" t="s">
        <v>54</v>
      </c>
      <c r="B131" s="3">
        <v>45689</v>
      </c>
      <c r="C131" t="s">
        <v>15</v>
      </c>
      <c r="D131" t="s">
        <v>18</v>
      </c>
      <c r="E131">
        <v>68410.929999999993</v>
      </c>
      <c r="F131">
        <v>10596</v>
      </c>
      <c r="G131">
        <v>0.20699999999999999</v>
      </c>
      <c r="H131">
        <v>25</v>
      </c>
      <c r="I131">
        <v>81.2</v>
      </c>
      <c r="J131">
        <v>0.21</v>
      </c>
      <c r="K131">
        <v>0</v>
      </c>
      <c r="L131">
        <v>4</v>
      </c>
      <c r="M131">
        <v>801830.35</v>
      </c>
      <c r="N131">
        <v>114875.32</v>
      </c>
      <c r="O131">
        <f t="shared" ref="O131:O194" si="12">IF(C131="North",1,0)</f>
        <v>0</v>
      </c>
      <c r="P131">
        <f t="shared" ref="P131:P194" si="13">IF(C131="South",1,0)</f>
        <v>0</v>
      </c>
      <c r="Q131">
        <f t="shared" ref="Q131:Q194" si="14">IF(C131="East",1,0)</f>
        <v>1</v>
      </c>
      <c r="R131">
        <f t="shared" ref="R131:R194" si="15">IF(D131="Airport",1,0)</f>
        <v>0</v>
      </c>
      <c r="S131">
        <f t="shared" ref="S131:S194" si="16">IF(D131="High Street",1,0)</f>
        <v>1</v>
      </c>
      <c r="T131">
        <f t="shared" ref="T131:T194" si="17">IF(D131="Mall",1,0)</f>
        <v>0</v>
      </c>
    </row>
    <row r="132" spans="1:20">
      <c r="A132" t="s">
        <v>54</v>
      </c>
      <c r="B132" s="3">
        <v>45717</v>
      </c>
      <c r="C132" t="s">
        <v>15</v>
      </c>
      <c r="D132" t="s">
        <v>18</v>
      </c>
      <c r="E132">
        <v>50735.63</v>
      </c>
      <c r="F132">
        <v>9619</v>
      </c>
      <c r="G132">
        <v>0.14399999999999999</v>
      </c>
      <c r="H132">
        <v>19</v>
      </c>
      <c r="I132">
        <v>93.8</v>
      </c>
      <c r="J132">
        <v>5.12</v>
      </c>
      <c r="K132">
        <v>1</v>
      </c>
      <c r="L132">
        <v>4.5</v>
      </c>
      <c r="M132">
        <v>725235.28</v>
      </c>
      <c r="N132">
        <v>121632.24</v>
      </c>
      <c r="O132">
        <f t="shared" si="12"/>
        <v>0</v>
      </c>
      <c r="P132">
        <f t="shared" si="13"/>
        <v>0</v>
      </c>
      <c r="Q132">
        <f t="shared" si="14"/>
        <v>1</v>
      </c>
      <c r="R132">
        <f t="shared" si="15"/>
        <v>0</v>
      </c>
      <c r="S132">
        <f t="shared" si="16"/>
        <v>1</v>
      </c>
      <c r="T132">
        <f t="shared" si="17"/>
        <v>0</v>
      </c>
    </row>
    <row r="133" spans="1:20">
      <c r="A133" t="s">
        <v>54</v>
      </c>
      <c r="B133" s="3">
        <v>45748</v>
      </c>
      <c r="C133" t="s">
        <v>15</v>
      </c>
      <c r="D133" t="s">
        <v>18</v>
      </c>
      <c r="E133">
        <v>66455.8</v>
      </c>
      <c r="F133">
        <v>10836</v>
      </c>
      <c r="G133">
        <v>8.8999999999999996E-2</v>
      </c>
      <c r="H133">
        <v>25</v>
      </c>
      <c r="I133">
        <v>85</v>
      </c>
      <c r="J133">
        <v>9.77</v>
      </c>
      <c r="K133">
        <v>0</v>
      </c>
      <c r="L133">
        <v>4.5</v>
      </c>
      <c r="M133">
        <v>811452.72</v>
      </c>
      <c r="N133">
        <v>131325.67000000001</v>
      </c>
      <c r="O133">
        <f t="shared" si="12"/>
        <v>0</v>
      </c>
      <c r="P133">
        <f t="shared" si="13"/>
        <v>0</v>
      </c>
      <c r="Q133">
        <f t="shared" si="14"/>
        <v>1</v>
      </c>
      <c r="R133">
        <f t="shared" si="15"/>
        <v>0</v>
      </c>
      <c r="S133">
        <f t="shared" si="16"/>
        <v>1</v>
      </c>
      <c r="T133">
        <f t="shared" si="17"/>
        <v>0</v>
      </c>
    </row>
    <row r="134" spans="1:20">
      <c r="A134" t="s">
        <v>55</v>
      </c>
      <c r="B134" s="3">
        <v>45658</v>
      </c>
      <c r="C134" t="s">
        <v>20</v>
      </c>
      <c r="D134" t="s">
        <v>18</v>
      </c>
      <c r="E134">
        <v>70276.28</v>
      </c>
      <c r="F134">
        <v>3043</v>
      </c>
      <c r="G134">
        <v>7.9000000000000001E-2</v>
      </c>
      <c r="H134">
        <v>9</v>
      </c>
      <c r="I134">
        <v>87.9</v>
      </c>
      <c r="J134">
        <v>3.77</v>
      </c>
      <c r="K134">
        <v>0</v>
      </c>
      <c r="L134">
        <v>4.4000000000000004</v>
      </c>
      <c r="M134">
        <v>527300.13</v>
      </c>
      <c r="N134">
        <v>84197.87</v>
      </c>
      <c r="O134">
        <f t="shared" si="12"/>
        <v>1</v>
      </c>
      <c r="P134">
        <f t="shared" si="13"/>
        <v>0</v>
      </c>
      <c r="Q134">
        <f t="shared" si="14"/>
        <v>0</v>
      </c>
      <c r="R134">
        <f t="shared" si="15"/>
        <v>0</v>
      </c>
      <c r="S134">
        <f t="shared" si="16"/>
        <v>1</v>
      </c>
      <c r="T134">
        <f t="shared" si="17"/>
        <v>0</v>
      </c>
    </row>
    <row r="135" spans="1:20">
      <c r="A135" t="s">
        <v>55</v>
      </c>
      <c r="B135" s="3">
        <v>45689</v>
      </c>
      <c r="C135" t="s">
        <v>20</v>
      </c>
      <c r="D135" t="s">
        <v>18</v>
      </c>
      <c r="E135">
        <v>22071.64</v>
      </c>
      <c r="F135">
        <v>1814</v>
      </c>
      <c r="G135">
        <v>0.19600000000000001</v>
      </c>
      <c r="H135">
        <v>8</v>
      </c>
      <c r="I135">
        <v>81.099999999999994</v>
      </c>
      <c r="J135">
        <v>0.78</v>
      </c>
      <c r="K135">
        <v>0</v>
      </c>
      <c r="L135" s="6">
        <v>3.92</v>
      </c>
      <c r="M135">
        <v>400831.65</v>
      </c>
      <c r="N135">
        <v>70979.31</v>
      </c>
      <c r="O135">
        <f t="shared" si="12"/>
        <v>1</v>
      </c>
      <c r="P135">
        <f t="shared" si="13"/>
        <v>0</v>
      </c>
      <c r="Q135">
        <f t="shared" si="14"/>
        <v>0</v>
      </c>
      <c r="R135">
        <f t="shared" si="15"/>
        <v>0</v>
      </c>
      <c r="S135">
        <f t="shared" si="16"/>
        <v>1</v>
      </c>
      <c r="T135">
        <f t="shared" si="17"/>
        <v>0</v>
      </c>
    </row>
    <row r="136" spans="1:20">
      <c r="A136" t="s">
        <v>55</v>
      </c>
      <c r="B136" s="3">
        <v>45717</v>
      </c>
      <c r="C136" t="s">
        <v>20</v>
      </c>
      <c r="D136" t="s">
        <v>18</v>
      </c>
      <c r="E136">
        <v>52285.45</v>
      </c>
      <c r="F136">
        <v>3618</v>
      </c>
      <c r="G136">
        <v>8.5999999999999993E-2</v>
      </c>
      <c r="H136">
        <v>11</v>
      </c>
      <c r="I136">
        <v>95.6</v>
      </c>
      <c r="J136">
        <v>5.17</v>
      </c>
      <c r="K136">
        <v>1</v>
      </c>
      <c r="L136">
        <v>4.4000000000000004</v>
      </c>
      <c r="M136">
        <v>593247.25</v>
      </c>
      <c r="N136">
        <v>81240.289999999994</v>
      </c>
      <c r="O136">
        <f t="shared" si="12"/>
        <v>1</v>
      </c>
      <c r="P136">
        <f t="shared" si="13"/>
        <v>0</v>
      </c>
      <c r="Q136">
        <f t="shared" si="14"/>
        <v>0</v>
      </c>
      <c r="R136">
        <f t="shared" si="15"/>
        <v>0</v>
      </c>
      <c r="S136">
        <f t="shared" si="16"/>
        <v>1</v>
      </c>
      <c r="T136">
        <f t="shared" si="17"/>
        <v>0</v>
      </c>
    </row>
    <row r="137" spans="1:20">
      <c r="A137" t="s">
        <v>55</v>
      </c>
      <c r="B137" s="3">
        <v>45748</v>
      </c>
      <c r="C137" t="s">
        <v>20</v>
      </c>
      <c r="D137" t="s">
        <v>18</v>
      </c>
      <c r="E137">
        <v>70366.759999999995</v>
      </c>
      <c r="F137">
        <v>1963</v>
      </c>
      <c r="G137">
        <v>0.182</v>
      </c>
      <c r="H137">
        <v>8</v>
      </c>
      <c r="I137">
        <v>89.8</v>
      </c>
      <c r="J137">
        <v>3.2</v>
      </c>
      <c r="K137">
        <v>0</v>
      </c>
      <c r="L137">
        <v>4.5999999999999996</v>
      </c>
      <c r="M137">
        <v>529075.94999999995</v>
      </c>
      <c r="N137">
        <v>95978.83</v>
      </c>
      <c r="O137">
        <f t="shared" si="12"/>
        <v>1</v>
      </c>
      <c r="P137">
        <f t="shared" si="13"/>
        <v>0</v>
      </c>
      <c r="Q137">
        <f t="shared" si="14"/>
        <v>0</v>
      </c>
      <c r="R137">
        <f t="shared" si="15"/>
        <v>0</v>
      </c>
      <c r="S137">
        <f t="shared" si="16"/>
        <v>1</v>
      </c>
      <c r="T137">
        <f t="shared" si="17"/>
        <v>0</v>
      </c>
    </row>
    <row r="138" spans="1:20">
      <c r="A138" t="s">
        <v>56</v>
      </c>
      <c r="B138" s="3">
        <v>45658</v>
      </c>
      <c r="C138" t="s">
        <v>24</v>
      </c>
      <c r="D138" t="s">
        <v>16</v>
      </c>
      <c r="E138">
        <v>71320.66</v>
      </c>
      <c r="F138">
        <v>7888</v>
      </c>
      <c r="G138">
        <v>4.8000000000000001E-2</v>
      </c>
      <c r="H138">
        <v>20</v>
      </c>
      <c r="I138">
        <v>78.099999999999994</v>
      </c>
      <c r="J138">
        <v>3.4</v>
      </c>
      <c r="K138">
        <v>0</v>
      </c>
      <c r="L138" s="6">
        <v>3.92</v>
      </c>
      <c r="M138">
        <v>633638.03</v>
      </c>
      <c r="N138">
        <v>99402.01</v>
      </c>
      <c r="O138">
        <f t="shared" si="12"/>
        <v>0</v>
      </c>
      <c r="P138">
        <f t="shared" si="13"/>
        <v>1</v>
      </c>
      <c r="Q138">
        <f t="shared" si="14"/>
        <v>0</v>
      </c>
      <c r="R138">
        <f t="shared" si="15"/>
        <v>0</v>
      </c>
      <c r="S138">
        <f t="shared" si="16"/>
        <v>0</v>
      </c>
      <c r="T138">
        <f t="shared" si="17"/>
        <v>0</v>
      </c>
    </row>
    <row r="139" spans="1:20">
      <c r="A139" t="s">
        <v>56</v>
      </c>
      <c r="B139" s="3">
        <v>45689</v>
      </c>
      <c r="C139" t="s">
        <v>24</v>
      </c>
      <c r="D139" t="s">
        <v>16</v>
      </c>
      <c r="E139">
        <v>75109.67</v>
      </c>
      <c r="F139">
        <v>6244</v>
      </c>
      <c r="G139">
        <v>7.9000000000000001E-2</v>
      </c>
      <c r="H139">
        <v>15</v>
      </c>
      <c r="I139">
        <v>96.3</v>
      </c>
      <c r="J139">
        <v>7.38</v>
      </c>
      <c r="K139">
        <v>0</v>
      </c>
      <c r="L139">
        <v>3.7</v>
      </c>
      <c r="M139">
        <v>743348.84</v>
      </c>
      <c r="N139">
        <v>104186.09</v>
      </c>
      <c r="O139">
        <f t="shared" si="12"/>
        <v>0</v>
      </c>
      <c r="P139">
        <f t="shared" si="13"/>
        <v>1</v>
      </c>
      <c r="Q139">
        <f t="shared" si="14"/>
        <v>0</v>
      </c>
      <c r="R139">
        <f t="shared" si="15"/>
        <v>0</v>
      </c>
      <c r="S139">
        <f t="shared" si="16"/>
        <v>0</v>
      </c>
      <c r="T139">
        <f t="shared" si="17"/>
        <v>0</v>
      </c>
    </row>
    <row r="140" spans="1:20">
      <c r="A140" t="s">
        <v>56</v>
      </c>
      <c r="B140" s="3">
        <v>45717</v>
      </c>
      <c r="C140" t="s">
        <v>24</v>
      </c>
      <c r="D140" t="s">
        <v>16</v>
      </c>
      <c r="E140">
        <v>69779</v>
      </c>
      <c r="F140">
        <v>6544</v>
      </c>
      <c r="G140">
        <v>0.152</v>
      </c>
      <c r="H140">
        <v>18</v>
      </c>
      <c r="I140">
        <v>90.2</v>
      </c>
      <c r="J140">
        <v>0.85</v>
      </c>
      <c r="K140">
        <v>1</v>
      </c>
      <c r="L140">
        <v>3.3</v>
      </c>
      <c r="M140">
        <v>758827.64</v>
      </c>
      <c r="N140">
        <v>161439.48000000001</v>
      </c>
      <c r="O140">
        <f t="shared" si="12"/>
        <v>0</v>
      </c>
      <c r="P140">
        <f t="shared" si="13"/>
        <v>1</v>
      </c>
      <c r="Q140">
        <f t="shared" si="14"/>
        <v>0</v>
      </c>
      <c r="R140">
        <f t="shared" si="15"/>
        <v>0</v>
      </c>
      <c r="S140">
        <f t="shared" si="16"/>
        <v>0</v>
      </c>
      <c r="T140">
        <f t="shared" si="17"/>
        <v>0</v>
      </c>
    </row>
    <row r="141" spans="1:20">
      <c r="A141" t="s">
        <v>56</v>
      </c>
      <c r="B141" s="3">
        <v>45748</v>
      </c>
      <c r="C141" t="s">
        <v>24</v>
      </c>
      <c r="D141" t="s">
        <v>16</v>
      </c>
      <c r="E141">
        <v>44211.95</v>
      </c>
      <c r="F141">
        <v>5465</v>
      </c>
      <c r="G141">
        <v>0.187</v>
      </c>
      <c r="H141">
        <v>12</v>
      </c>
      <c r="I141">
        <v>90</v>
      </c>
      <c r="J141">
        <v>2.89</v>
      </c>
      <c r="K141">
        <v>0</v>
      </c>
      <c r="L141">
        <v>3.6</v>
      </c>
      <c r="M141">
        <v>646559.71</v>
      </c>
      <c r="N141">
        <v>97981.75</v>
      </c>
      <c r="O141">
        <f t="shared" si="12"/>
        <v>0</v>
      </c>
      <c r="P141">
        <f t="shared" si="13"/>
        <v>1</v>
      </c>
      <c r="Q141">
        <f t="shared" si="14"/>
        <v>0</v>
      </c>
      <c r="R141">
        <f t="shared" si="15"/>
        <v>0</v>
      </c>
      <c r="S141">
        <f t="shared" si="16"/>
        <v>0</v>
      </c>
      <c r="T141">
        <f t="shared" si="17"/>
        <v>0</v>
      </c>
    </row>
    <row r="142" spans="1:20">
      <c r="A142" t="s">
        <v>57</v>
      </c>
      <c r="B142" s="3">
        <v>45658</v>
      </c>
      <c r="C142" t="s">
        <v>27</v>
      </c>
      <c r="D142" t="s">
        <v>18</v>
      </c>
      <c r="E142">
        <v>51430.31</v>
      </c>
      <c r="F142">
        <v>6427</v>
      </c>
      <c r="G142">
        <v>0.23400000000000001</v>
      </c>
      <c r="H142">
        <v>14</v>
      </c>
      <c r="I142">
        <v>88.8</v>
      </c>
      <c r="J142">
        <v>0.77</v>
      </c>
      <c r="K142">
        <v>0</v>
      </c>
      <c r="L142">
        <v>4.0999999999999996</v>
      </c>
      <c r="M142">
        <v>715890.53</v>
      </c>
      <c r="N142">
        <v>109032.15</v>
      </c>
      <c r="O142">
        <f t="shared" si="12"/>
        <v>0</v>
      </c>
      <c r="P142">
        <f t="shared" si="13"/>
        <v>0</v>
      </c>
      <c r="Q142">
        <f t="shared" si="14"/>
        <v>0</v>
      </c>
      <c r="R142">
        <f t="shared" si="15"/>
        <v>0</v>
      </c>
      <c r="S142">
        <f t="shared" si="16"/>
        <v>1</v>
      </c>
      <c r="T142">
        <f t="shared" si="17"/>
        <v>0</v>
      </c>
    </row>
    <row r="143" spans="1:20">
      <c r="A143" t="s">
        <v>57</v>
      </c>
      <c r="B143" s="3">
        <v>45689</v>
      </c>
      <c r="C143" t="s">
        <v>27</v>
      </c>
      <c r="D143" t="s">
        <v>18</v>
      </c>
      <c r="E143">
        <v>45706.49</v>
      </c>
      <c r="F143">
        <v>6704</v>
      </c>
      <c r="G143">
        <v>3.7999999999999999E-2</v>
      </c>
      <c r="H143">
        <v>15</v>
      </c>
      <c r="I143">
        <v>94.2</v>
      </c>
      <c r="J143">
        <v>2.92</v>
      </c>
      <c r="K143">
        <v>0</v>
      </c>
      <c r="L143">
        <v>4.2</v>
      </c>
      <c r="M143">
        <v>715097.57</v>
      </c>
      <c r="N143">
        <v>151875.85999999999</v>
      </c>
      <c r="O143">
        <f t="shared" si="12"/>
        <v>0</v>
      </c>
      <c r="P143">
        <f t="shared" si="13"/>
        <v>0</v>
      </c>
      <c r="Q143">
        <f t="shared" si="14"/>
        <v>0</v>
      </c>
      <c r="R143">
        <f t="shared" si="15"/>
        <v>0</v>
      </c>
      <c r="S143">
        <f t="shared" si="16"/>
        <v>1</v>
      </c>
      <c r="T143">
        <f t="shared" si="17"/>
        <v>0</v>
      </c>
    </row>
    <row r="144" spans="1:20">
      <c r="A144" t="s">
        <v>57</v>
      </c>
      <c r="B144" s="3">
        <v>45717</v>
      </c>
      <c r="C144" t="s">
        <v>27</v>
      </c>
      <c r="D144" t="s">
        <v>18</v>
      </c>
      <c r="E144">
        <v>44034.6</v>
      </c>
      <c r="F144">
        <v>5645</v>
      </c>
      <c r="G144">
        <v>6.9000000000000006E-2</v>
      </c>
      <c r="H144">
        <v>18</v>
      </c>
      <c r="I144">
        <v>88.5</v>
      </c>
      <c r="J144">
        <v>3.07</v>
      </c>
      <c r="K144">
        <v>0</v>
      </c>
      <c r="L144">
        <v>3.8</v>
      </c>
      <c r="M144">
        <v>682639.28</v>
      </c>
      <c r="N144">
        <v>77557.53</v>
      </c>
      <c r="O144">
        <f t="shared" si="12"/>
        <v>0</v>
      </c>
      <c r="P144">
        <f t="shared" si="13"/>
        <v>0</v>
      </c>
      <c r="Q144">
        <f t="shared" si="14"/>
        <v>0</v>
      </c>
      <c r="R144">
        <f t="shared" si="15"/>
        <v>0</v>
      </c>
      <c r="S144">
        <f t="shared" si="16"/>
        <v>1</v>
      </c>
      <c r="T144">
        <f t="shared" si="17"/>
        <v>0</v>
      </c>
    </row>
    <row r="145" spans="1:20">
      <c r="A145" t="s">
        <v>57</v>
      </c>
      <c r="B145" s="3">
        <v>45748</v>
      </c>
      <c r="C145" t="s">
        <v>27</v>
      </c>
      <c r="D145" t="s">
        <v>18</v>
      </c>
      <c r="E145">
        <v>50198.12</v>
      </c>
      <c r="F145">
        <v>6089</v>
      </c>
      <c r="G145">
        <v>0.182</v>
      </c>
      <c r="H145">
        <v>19</v>
      </c>
      <c r="I145">
        <v>94</v>
      </c>
      <c r="J145">
        <v>9.6999999999999993</v>
      </c>
      <c r="K145">
        <v>0</v>
      </c>
      <c r="L145">
        <v>3.9</v>
      </c>
      <c r="M145">
        <v>695098.51</v>
      </c>
      <c r="N145">
        <v>108192.75</v>
      </c>
      <c r="O145">
        <f t="shared" si="12"/>
        <v>0</v>
      </c>
      <c r="P145">
        <f t="shared" si="13"/>
        <v>0</v>
      </c>
      <c r="Q145">
        <f t="shared" si="14"/>
        <v>0</v>
      </c>
      <c r="R145">
        <f t="shared" si="15"/>
        <v>0</v>
      </c>
      <c r="S145">
        <f t="shared" si="16"/>
        <v>1</v>
      </c>
      <c r="T145">
        <f t="shared" si="17"/>
        <v>0</v>
      </c>
    </row>
    <row r="146" spans="1:20">
      <c r="A146" t="s">
        <v>58</v>
      </c>
      <c r="B146" s="3">
        <v>45658</v>
      </c>
      <c r="C146" t="s">
        <v>20</v>
      </c>
      <c r="D146" t="s">
        <v>16</v>
      </c>
      <c r="E146">
        <v>70488.2</v>
      </c>
      <c r="F146">
        <v>4312</v>
      </c>
      <c r="G146">
        <v>0.16900000000000001</v>
      </c>
      <c r="H146">
        <v>12</v>
      </c>
      <c r="I146">
        <v>90.2</v>
      </c>
      <c r="J146">
        <v>3.71</v>
      </c>
      <c r="K146">
        <v>0</v>
      </c>
      <c r="L146">
        <v>3.2</v>
      </c>
      <c r="M146">
        <v>577732.56999999995</v>
      </c>
      <c r="N146">
        <v>93804.27</v>
      </c>
      <c r="O146">
        <f t="shared" si="12"/>
        <v>1</v>
      </c>
      <c r="P146">
        <f t="shared" si="13"/>
        <v>0</v>
      </c>
      <c r="Q146">
        <f t="shared" si="14"/>
        <v>0</v>
      </c>
      <c r="R146">
        <f t="shared" si="15"/>
        <v>0</v>
      </c>
      <c r="S146">
        <f t="shared" si="16"/>
        <v>0</v>
      </c>
      <c r="T146">
        <f t="shared" si="17"/>
        <v>0</v>
      </c>
    </row>
    <row r="147" spans="1:20">
      <c r="A147" t="s">
        <v>58</v>
      </c>
      <c r="B147" s="3">
        <v>45689</v>
      </c>
      <c r="C147" t="s">
        <v>20</v>
      </c>
      <c r="D147" t="s">
        <v>16</v>
      </c>
      <c r="E147">
        <v>50909.27</v>
      </c>
      <c r="F147">
        <v>3152</v>
      </c>
      <c r="G147">
        <v>0.06</v>
      </c>
      <c r="H147">
        <v>13</v>
      </c>
      <c r="I147">
        <v>93.7</v>
      </c>
      <c r="J147">
        <v>10.79</v>
      </c>
      <c r="K147">
        <v>0</v>
      </c>
      <c r="L147">
        <v>3.5</v>
      </c>
      <c r="M147">
        <v>537058.32999999996</v>
      </c>
      <c r="N147">
        <v>93555.71</v>
      </c>
      <c r="O147">
        <f t="shared" si="12"/>
        <v>1</v>
      </c>
      <c r="P147">
        <f t="shared" si="13"/>
        <v>0</v>
      </c>
      <c r="Q147">
        <f t="shared" si="14"/>
        <v>0</v>
      </c>
      <c r="R147">
        <f t="shared" si="15"/>
        <v>0</v>
      </c>
      <c r="S147">
        <f t="shared" si="16"/>
        <v>0</v>
      </c>
      <c r="T147">
        <f t="shared" si="17"/>
        <v>0</v>
      </c>
    </row>
    <row r="148" spans="1:20">
      <c r="A148" t="s">
        <v>58</v>
      </c>
      <c r="B148" s="3">
        <v>45717</v>
      </c>
      <c r="C148" t="s">
        <v>20</v>
      </c>
      <c r="D148" t="s">
        <v>16</v>
      </c>
      <c r="E148">
        <v>53351.7</v>
      </c>
      <c r="F148">
        <v>4259</v>
      </c>
      <c r="G148">
        <v>0.156</v>
      </c>
      <c r="H148">
        <v>15</v>
      </c>
      <c r="I148">
        <v>93.7</v>
      </c>
      <c r="J148">
        <v>6.03</v>
      </c>
      <c r="K148">
        <v>0</v>
      </c>
      <c r="L148">
        <v>3.4</v>
      </c>
      <c r="M148">
        <v>601568.87</v>
      </c>
      <c r="N148">
        <v>91634.82</v>
      </c>
      <c r="O148">
        <f t="shared" si="12"/>
        <v>1</v>
      </c>
      <c r="P148">
        <f t="shared" si="13"/>
        <v>0</v>
      </c>
      <c r="Q148">
        <f t="shared" si="14"/>
        <v>0</v>
      </c>
      <c r="R148">
        <f t="shared" si="15"/>
        <v>0</v>
      </c>
      <c r="S148">
        <f t="shared" si="16"/>
        <v>0</v>
      </c>
      <c r="T148">
        <f t="shared" si="17"/>
        <v>0</v>
      </c>
    </row>
    <row r="149" spans="1:20">
      <c r="A149" t="s">
        <v>58</v>
      </c>
      <c r="B149" s="3">
        <v>45748</v>
      </c>
      <c r="C149" t="s">
        <v>20</v>
      </c>
      <c r="D149" t="s">
        <v>16</v>
      </c>
      <c r="E149">
        <v>60322.400000000001</v>
      </c>
      <c r="F149">
        <v>3350</v>
      </c>
      <c r="G149">
        <v>0.108</v>
      </c>
      <c r="H149">
        <v>12</v>
      </c>
      <c r="I149">
        <v>89.4</v>
      </c>
      <c r="J149">
        <v>4.92</v>
      </c>
      <c r="K149">
        <v>0</v>
      </c>
      <c r="L149">
        <v>3.4</v>
      </c>
      <c r="M149">
        <v>570964.84</v>
      </c>
      <c r="N149">
        <v>81331.070000000007</v>
      </c>
      <c r="O149">
        <f t="shared" si="12"/>
        <v>1</v>
      </c>
      <c r="P149">
        <f t="shared" si="13"/>
        <v>0</v>
      </c>
      <c r="Q149">
        <f t="shared" si="14"/>
        <v>0</v>
      </c>
      <c r="R149">
        <f t="shared" si="15"/>
        <v>0</v>
      </c>
      <c r="S149">
        <f t="shared" si="16"/>
        <v>0</v>
      </c>
      <c r="T149">
        <f t="shared" si="17"/>
        <v>0</v>
      </c>
    </row>
    <row r="150" spans="1:20">
      <c r="A150" t="s">
        <v>59</v>
      </c>
      <c r="B150" s="3">
        <v>45658</v>
      </c>
      <c r="C150" t="s">
        <v>24</v>
      </c>
      <c r="D150" t="s">
        <v>28</v>
      </c>
      <c r="E150">
        <v>51575.68</v>
      </c>
      <c r="F150">
        <v>5329</v>
      </c>
      <c r="G150">
        <v>4.7E-2</v>
      </c>
      <c r="H150">
        <v>17</v>
      </c>
      <c r="I150">
        <v>88.1</v>
      </c>
      <c r="J150">
        <v>19.78</v>
      </c>
      <c r="K150">
        <v>0</v>
      </c>
      <c r="L150">
        <v>3.8</v>
      </c>
      <c r="M150">
        <v>614024.91</v>
      </c>
      <c r="N150">
        <v>84828.93</v>
      </c>
      <c r="O150">
        <f t="shared" si="12"/>
        <v>0</v>
      </c>
      <c r="P150">
        <f t="shared" si="13"/>
        <v>1</v>
      </c>
      <c r="Q150">
        <f t="shared" si="14"/>
        <v>0</v>
      </c>
      <c r="R150">
        <f t="shared" si="15"/>
        <v>0</v>
      </c>
      <c r="S150">
        <f t="shared" si="16"/>
        <v>0</v>
      </c>
      <c r="T150">
        <f t="shared" si="17"/>
        <v>1</v>
      </c>
    </row>
    <row r="151" spans="1:20">
      <c r="A151" t="s">
        <v>59</v>
      </c>
      <c r="B151" s="3">
        <v>45689</v>
      </c>
      <c r="C151" t="s">
        <v>24</v>
      </c>
      <c r="D151" t="s">
        <v>28</v>
      </c>
      <c r="E151">
        <v>43319.94</v>
      </c>
      <c r="F151">
        <v>6551</v>
      </c>
      <c r="G151">
        <v>4.3999999999999997E-2</v>
      </c>
      <c r="H151">
        <v>13</v>
      </c>
      <c r="I151">
        <v>99</v>
      </c>
      <c r="J151">
        <v>5.45</v>
      </c>
      <c r="K151">
        <v>0</v>
      </c>
      <c r="L151">
        <v>4.0999999999999996</v>
      </c>
      <c r="M151">
        <v>712868.35</v>
      </c>
      <c r="N151">
        <v>133650.51</v>
      </c>
      <c r="O151">
        <f t="shared" si="12"/>
        <v>0</v>
      </c>
      <c r="P151">
        <f t="shared" si="13"/>
        <v>1</v>
      </c>
      <c r="Q151">
        <f t="shared" si="14"/>
        <v>0</v>
      </c>
      <c r="R151">
        <f t="shared" si="15"/>
        <v>0</v>
      </c>
      <c r="S151">
        <f t="shared" si="16"/>
        <v>0</v>
      </c>
      <c r="T151">
        <f t="shared" si="17"/>
        <v>1</v>
      </c>
    </row>
    <row r="152" spans="1:20">
      <c r="A152" t="s">
        <v>59</v>
      </c>
      <c r="B152" s="3">
        <v>45717</v>
      </c>
      <c r="C152" t="s">
        <v>24</v>
      </c>
      <c r="D152" t="s">
        <v>28</v>
      </c>
      <c r="E152">
        <v>47093.55</v>
      </c>
      <c r="F152">
        <v>5550</v>
      </c>
      <c r="G152">
        <v>0.1</v>
      </c>
      <c r="H152">
        <v>12</v>
      </c>
      <c r="I152">
        <v>95</v>
      </c>
      <c r="J152">
        <v>2.33</v>
      </c>
      <c r="K152">
        <v>1</v>
      </c>
      <c r="L152">
        <v>3.7</v>
      </c>
      <c r="M152">
        <v>696744.15</v>
      </c>
      <c r="N152">
        <v>152230.09</v>
      </c>
      <c r="O152">
        <f t="shared" si="12"/>
        <v>0</v>
      </c>
      <c r="P152">
        <f t="shared" si="13"/>
        <v>1</v>
      </c>
      <c r="Q152">
        <f t="shared" si="14"/>
        <v>0</v>
      </c>
      <c r="R152">
        <f t="shared" si="15"/>
        <v>0</v>
      </c>
      <c r="S152">
        <f t="shared" si="16"/>
        <v>0</v>
      </c>
      <c r="T152">
        <f t="shared" si="17"/>
        <v>1</v>
      </c>
    </row>
    <row r="153" spans="1:20">
      <c r="A153" t="s">
        <v>59</v>
      </c>
      <c r="B153" s="3">
        <v>45748</v>
      </c>
      <c r="C153" t="s">
        <v>24</v>
      </c>
      <c r="D153" t="s">
        <v>28</v>
      </c>
      <c r="E153">
        <v>71855.09</v>
      </c>
      <c r="F153">
        <v>5911</v>
      </c>
      <c r="G153">
        <v>0.19700000000000001</v>
      </c>
      <c r="H153">
        <v>15</v>
      </c>
      <c r="I153">
        <v>94.3</v>
      </c>
      <c r="J153">
        <v>3.55</v>
      </c>
      <c r="K153">
        <v>0</v>
      </c>
      <c r="L153">
        <v>4.0999999999999996</v>
      </c>
      <c r="M153">
        <v>725847.99</v>
      </c>
      <c r="N153">
        <v>122698.73</v>
      </c>
      <c r="O153">
        <f t="shared" si="12"/>
        <v>0</v>
      </c>
      <c r="P153">
        <f t="shared" si="13"/>
        <v>1</v>
      </c>
      <c r="Q153">
        <f t="shared" si="14"/>
        <v>0</v>
      </c>
      <c r="R153">
        <f t="shared" si="15"/>
        <v>0</v>
      </c>
      <c r="S153">
        <f t="shared" si="16"/>
        <v>0</v>
      </c>
      <c r="T153">
        <f t="shared" si="17"/>
        <v>1</v>
      </c>
    </row>
    <row r="154" spans="1:20">
      <c r="A154" t="s">
        <v>60</v>
      </c>
      <c r="B154" s="3">
        <v>45658</v>
      </c>
      <c r="C154" t="s">
        <v>15</v>
      </c>
      <c r="D154" t="s">
        <v>18</v>
      </c>
      <c r="E154">
        <v>75645.23</v>
      </c>
      <c r="F154">
        <v>9674</v>
      </c>
      <c r="G154">
        <v>0.23400000000000001</v>
      </c>
      <c r="H154">
        <v>21</v>
      </c>
      <c r="I154">
        <v>87.4</v>
      </c>
      <c r="J154">
        <v>0.2</v>
      </c>
      <c r="K154">
        <v>0</v>
      </c>
      <c r="L154">
        <v>4.5</v>
      </c>
      <c r="M154">
        <v>785028.25</v>
      </c>
      <c r="N154">
        <v>110726.44</v>
      </c>
      <c r="O154">
        <f t="shared" si="12"/>
        <v>0</v>
      </c>
      <c r="P154">
        <f t="shared" si="13"/>
        <v>0</v>
      </c>
      <c r="Q154">
        <f t="shared" si="14"/>
        <v>1</v>
      </c>
      <c r="R154">
        <f t="shared" si="15"/>
        <v>0</v>
      </c>
      <c r="S154">
        <f t="shared" si="16"/>
        <v>1</v>
      </c>
      <c r="T154">
        <f t="shared" si="17"/>
        <v>0</v>
      </c>
    </row>
    <row r="155" spans="1:20">
      <c r="A155" t="s">
        <v>60</v>
      </c>
      <c r="B155" s="3">
        <v>45689</v>
      </c>
      <c r="C155" t="s">
        <v>15</v>
      </c>
      <c r="D155" t="s">
        <v>18</v>
      </c>
      <c r="E155">
        <v>64374.75</v>
      </c>
      <c r="F155">
        <v>6740</v>
      </c>
      <c r="G155">
        <v>0.16900000000000001</v>
      </c>
      <c r="H155">
        <v>18</v>
      </c>
      <c r="I155">
        <v>87</v>
      </c>
      <c r="J155">
        <v>2.09</v>
      </c>
      <c r="K155">
        <v>0</v>
      </c>
      <c r="L155">
        <v>4.2</v>
      </c>
      <c r="M155">
        <v>698492.67</v>
      </c>
      <c r="N155">
        <v>117319.32</v>
      </c>
      <c r="O155">
        <f t="shared" si="12"/>
        <v>0</v>
      </c>
      <c r="P155">
        <f t="shared" si="13"/>
        <v>0</v>
      </c>
      <c r="Q155">
        <f t="shared" si="14"/>
        <v>1</v>
      </c>
      <c r="R155">
        <f t="shared" si="15"/>
        <v>0</v>
      </c>
      <c r="S155">
        <f t="shared" si="16"/>
        <v>1</v>
      </c>
      <c r="T155">
        <f t="shared" si="17"/>
        <v>0</v>
      </c>
    </row>
    <row r="156" spans="1:20">
      <c r="A156" t="s">
        <v>60</v>
      </c>
      <c r="B156" s="3">
        <v>45717</v>
      </c>
      <c r="C156" t="s">
        <v>15</v>
      </c>
      <c r="D156" t="s">
        <v>18</v>
      </c>
      <c r="E156">
        <v>61433.84</v>
      </c>
      <c r="F156">
        <v>7745</v>
      </c>
      <c r="G156">
        <v>0.18</v>
      </c>
      <c r="H156">
        <v>16</v>
      </c>
      <c r="I156">
        <v>90.5</v>
      </c>
      <c r="J156">
        <v>2.2599999999999998</v>
      </c>
      <c r="K156">
        <v>0</v>
      </c>
      <c r="L156">
        <v>4.2</v>
      </c>
      <c r="M156">
        <v>685830.24</v>
      </c>
      <c r="N156">
        <v>128736.18</v>
      </c>
      <c r="O156">
        <f t="shared" si="12"/>
        <v>0</v>
      </c>
      <c r="P156">
        <f t="shared" si="13"/>
        <v>0</v>
      </c>
      <c r="Q156">
        <f t="shared" si="14"/>
        <v>1</v>
      </c>
      <c r="R156">
        <f t="shared" si="15"/>
        <v>0</v>
      </c>
      <c r="S156">
        <f t="shared" si="16"/>
        <v>1</v>
      </c>
      <c r="T156">
        <f t="shared" si="17"/>
        <v>0</v>
      </c>
    </row>
    <row r="157" spans="1:20">
      <c r="A157" t="s">
        <v>60</v>
      </c>
      <c r="B157" s="3">
        <v>45748</v>
      </c>
      <c r="C157" t="s">
        <v>15</v>
      </c>
      <c r="D157" t="s">
        <v>18</v>
      </c>
      <c r="E157">
        <v>42698.14</v>
      </c>
      <c r="F157">
        <v>7693</v>
      </c>
      <c r="G157">
        <v>0.187</v>
      </c>
      <c r="H157">
        <v>19</v>
      </c>
      <c r="I157">
        <v>90.1</v>
      </c>
      <c r="J157">
        <v>0.44</v>
      </c>
      <c r="K157">
        <v>0</v>
      </c>
      <c r="L157">
        <v>4.4000000000000004</v>
      </c>
      <c r="M157">
        <v>702318.94</v>
      </c>
      <c r="N157">
        <v>112829.29</v>
      </c>
      <c r="O157">
        <f t="shared" si="12"/>
        <v>0</v>
      </c>
      <c r="P157">
        <f t="shared" si="13"/>
        <v>0</v>
      </c>
      <c r="Q157">
        <f t="shared" si="14"/>
        <v>1</v>
      </c>
      <c r="R157">
        <f t="shared" si="15"/>
        <v>0</v>
      </c>
      <c r="S157">
        <f t="shared" si="16"/>
        <v>1</v>
      </c>
      <c r="T157">
        <f t="shared" si="17"/>
        <v>0</v>
      </c>
    </row>
    <row r="158" spans="1:20">
      <c r="A158" t="s">
        <v>61</v>
      </c>
      <c r="B158" s="3">
        <v>45658</v>
      </c>
      <c r="C158" t="s">
        <v>20</v>
      </c>
      <c r="D158" t="s">
        <v>28</v>
      </c>
      <c r="E158">
        <v>86883.31</v>
      </c>
      <c r="F158">
        <v>6424</v>
      </c>
      <c r="G158">
        <v>5.7000000000000002E-2</v>
      </c>
      <c r="H158">
        <v>19</v>
      </c>
      <c r="I158">
        <v>85.2</v>
      </c>
      <c r="J158">
        <v>3.08</v>
      </c>
      <c r="K158">
        <v>0</v>
      </c>
      <c r="L158">
        <v>3.9</v>
      </c>
      <c r="M158">
        <v>700078.32</v>
      </c>
      <c r="N158">
        <v>123707.58</v>
      </c>
      <c r="O158">
        <f t="shared" si="12"/>
        <v>1</v>
      </c>
      <c r="P158">
        <f t="shared" si="13"/>
        <v>0</v>
      </c>
      <c r="Q158">
        <f t="shared" si="14"/>
        <v>0</v>
      </c>
      <c r="R158">
        <f t="shared" si="15"/>
        <v>0</v>
      </c>
      <c r="S158">
        <f t="shared" si="16"/>
        <v>0</v>
      </c>
      <c r="T158">
        <f t="shared" si="17"/>
        <v>1</v>
      </c>
    </row>
    <row r="159" spans="1:20">
      <c r="A159" t="s">
        <v>61</v>
      </c>
      <c r="B159" s="3">
        <v>45689</v>
      </c>
      <c r="C159" t="s">
        <v>20</v>
      </c>
      <c r="D159" t="s">
        <v>28</v>
      </c>
      <c r="E159">
        <v>41863.08</v>
      </c>
      <c r="F159">
        <v>5400</v>
      </c>
      <c r="G159">
        <v>0.114</v>
      </c>
      <c r="H159">
        <v>11</v>
      </c>
      <c r="I159">
        <v>91.6</v>
      </c>
      <c r="J159">
        <v>7.99</v>
      </c>
      <c r="K159">
        <v>0</v>
      </c>
      <c r="L159">
        <v>3</v>
      </c>
      <c r="M159">
        <v>602002.31999999995</v>
      </c>
      <c r="N159">
        <v>110453.28</v>
      </c>
      <c r="O159">
        <f t="shared" si="12"/>
        <v>1</v>
      </c>
      <c r="P159">
        <f t="shared" si="13"/>
        <v>0</v>
      </c>
      <c r="Q159">
        <f t="shared" si="14"/>
        <v>0</v>
      </c>
      <c r="R159">
        <f t="shared" si="15"/>
        <v>0</v>
      </c>
      <c r="S159">
        <f t="shared" si="16"/>
        <v>0</v>
      </c>
      <c r="T159">
        <f t="shared" si="17"/>
        <v>1</v>
      </c>
    </row>
    <row r="160" spans="1:20">
      <c r="A160" t="s">
        <v>61</v>
      </c>
      <c r="B160" s="3">
        <v>45717</v>
      </c>
      <c r="C160" t="s">
        <v>20</v>
      </c>
      <c r="D160" t="s">
        <v>28</v>
      </c>
      <c r="E160">
        <v>56918.16</v>
      </c>
      <c r="F160">
        <v>7015</v>
      </c>
      <c r="G160">
        <v>0.158</v>
      </c>
      <c r="H160">
        <v>18</v>
      </c>
      <c r="I160">
        <v>74.2</v>
      </c>
      <c r="J160">
        <v>0.2</v>
      </c>
      <c r="K160">
        <v>0</v>
      </c>
      <c r="L160">
        <v>3.4</v>
      </c>
      <c r="M160">
        <v>724216.07</v>
      </c>
      <c r="N160">
        <v>100627.56</v>
      </c>
      <c r="O160">
        <f t="shared" si="12"/>
        <v>1</v>
      </c>
      <c r="P160">
        <f t="shared" si="13"/>
        <v>0</v>
      </c>
      <c r="Q160">
        <f t="shared" si="14"/>
        <v>0</v>
      </c>
      <c r="R160">
        <f t="shared" si="15"/>
        <v>0</v>
      </c>
      <c r="S160">
        <f t="shared" si="16"/>
        <v>0</v>
      </c>
      <c r="T160">
        <f t="shared" si="17"/>
        <v>1</v>
      </c>
    </row>
    <row r="161" spans="1:20">
      <c r="A161" t="s">
        <v>61</v>
      </c>
      <c r="B161" s="3">
        <v>45748</v>
      </c>
      <c r="C161" t="s">
        <v>20</v>
      </c>
      <c r="D161" t="s">
        <v>28</v>
      </c>
      <c r="E161">
        <v>23254.57</v>
      </c>
      <c r="F161">
        <v>3847</v>
      </c>
      <c r="G161">
        <v>0.159</v>
      </c>
      <c r="H161">
        <v>12</v>
      </c>
      <c r="I161">
        <v>93</v>
      </c>
      <c r="J161">
        <v>5.46</v>
      </c>
      <c r="K161">
        <v>0</v>
      </c>
      <c r="L161">
        <v>3.3</v>
      </c>
      <c r="M161">
        <v>620973.03</v>
      </c>
      <c r="N161">
        <v>72303.850000000006</v>
      </c>
      <c r="O161">
        <f t="shared" si="12"/>
        <v>1</v>
      </c>
      <c r="P161">
        <f t="shared" si="13"/>
        <v>0</v>
      </c>
      <c r="Q161">
        <f t="shared" si="14"/>
        <v>0</v>
      </c>
      <c r="R161">
        <f t="shared" si="15"/>
        <v>0</v>
      </c>
      <c r="S161">
        <f t="shared" si="16"/>
        <v>0</v>
      </c>
      <c r="T161">
        <f t="shared" si="17"/>
        <v>1</v>
      </c>
    </row>
    <row r="162" spans="1:20">
      <c r="A162" t="s">
        <v>62</v>
      </c>
      <c r="B162" s="3">
        <v>45658</v>
      </c>
      <c r="C162" t="s">
        <v>24</v>
      </c>
      <c r="D162" t="s">
        <v>18</v>
      </c>
      <c r="E162">
        <v>41443.410000000003</v>
      </c>
      <c r="F162">
        <v>7455</v>
      </c>
      <c r="G162">
        <v>0.17499999999999999</v>
      </c>
      <c r="H162">
        <v>16</v>
      </c>
      <c r="I162">
        <v>90.1</v>
      </c>
      <c r="J162">
        <v>4.05</v>
      </c>
      <c r="K162">
        <v>0</v>
      </c>
      <c r="L162">
        <v>4</v>
      </c>
      <c r="M162">
        <v>650480.06000000006</v>
      </c>
      <c r="N162">
        <v>109012.07</v>
      </c>
      <c r="O162">
        <f t="shared" si="12"/>
        <v>0</v>
      </c>
      <c r="P162">
        <f t="shared" si="13"/>
        <v>1</v>
      </c>
      <c r="Q162">
        <f t="shared" si="14"/>
        <v>0</v>
      </c>
      <c r="R162">
        <f t="shared" si="15"/>
        <v>0</v>
      </c>
      <c r="S162">
        <f t="shared" si="16"/>
        <v>1</v>
      </c>
      <c r="T162">
        <f t="shared" si="17"/>
        <v>0</v>
      </c>
    </row>
    <row r="163" spans="1:20">
      <c r="A163" t="s">
        <v>62</v>
      </c>
      <c r="B163" s="3">
        <v>45689</v>
      </c>
      <c r="C163" t="s">
        <v>24</v>
      </c>
      <c r="D163" t="s">
        <v>18</v>
      </c>
      <c r="E163">
        <v>48438.85</v>
      </c>
      <c r="F163">
        <v>6992</v>
      </c>
      <c r="G163">
        <v>3.4000000000000002E-2</v>
      </c>
      <c r="H163">
        <v>20</v>
      </c>
      <c r="I163">
        <v>91</v>
      </c>
      <c r="J163">
        <v>4.3600000000000003</v>
      </c>
      <c r="K163">
        <v>0</v>
      </c>
      <c r="L163">
        <v>4.2</v>
      </c>
      <c r="M163">
        <v>778298.88</v>
      </c>
      <c r="N163">
        <v>130076.72</v>
      </c>
      <c r="O163">
        <f t="shared" si="12"/>
        <v>0</v>
      </c>
      <c r="P163">
        <f t="shared" si="13"/>
        <v>1</v>
      </c>
      <c r="Q163">
        <f t="shared" si="14"/>
        <v>0</v>
      </c>
      <c r="R163">
        <f t="shared" si="15"/>
        <v>0</v>
      </c>
      <c r="S163">
        <f t="shared" si="16"/>
        <v>1</v>
      </c>
      <c r="T163">
        <f t="shared" si="17"/>
        <v>0</v>
      </c>
    </row>
    <row r="164" spans="1:20">
      <c r="A164" t="s">
        <v>62</v>
      </c>
      <c r="B164" s="3">
        <v>45717</v>
      </c>
      <c r="C164" t="s">
        <v>24</v>
      </c>
      <c r="D164" t="s">
        <v>18</v>
      </c>
      <c r="E164">
        <v>57143.3</v>
      </c>
      <c r="F164">
        <v>8038</v>
      </c>
      <c r="G164">
        <v>0.193</v>
      </c>
      <c r="H164">
        <v>17</v>
      </c>
      <c r="I164">
        <v>72.599999999999994</v>
      </c>
      <c r="J164" s="6">
        <v>4.5599999999999996</v>
      </c>
      <c r="K164">
        <v>0</v>
      </c>
      <c r="L164">
        <v>4.2</v>
      </c>
      <c r="M164">
        <v>677096.71</v>
      </c>
      <c r="N164">
        <v>97174.11</v>
      </c>
      <c r="O164">
        <f t="shared" si="12"/>
        <v>0</v>
      </c>
      <c r="P164">
        <f t="shared" si="13"/>
        <v>1</v>
      </c>
      <c r="Q164">
        <f t="shared" si="14"/>
        <v>0</v>
      </c>
      <c r="R164">
        <f t="shared" si="15"/>
        <v>0</v>
      </c>
      <c r="S164">
        <f t="shared" si="16"/>
        <v>1</v>
      </c>
      <c r="T164">
        <f t="shared" si="17"/>
        <v>0</v>
      </c>
    </row>
    <row r="165" spans="1:20">
      <c r="A165" t="s">
        <v>62</v>
      </c>
      <c r="B165" s="3">
        <v>45748</v>
      </c>
      <c r="C165" t="s">
        <v>24</v>
      </c>
      <c r="D165" t="s">
        <v>18</v>
      </c>
      <c r="E165">
        <v>66870.62</v>
      </c>
      <c r="F165">
        <v>6055</v>
      </c>
      <c r="G165">
        <v>7.4999999999999997E-2</v>
      </c>
      <c r="H165">
        <v>19</v>
      </c>
      <c r="I165">
        <v>93.8</v>
      </c>
      <c r="J165">
        <v>0.54</v>
      </c>
      <c r="K165">
        <v>0</v>
      </c>
      <c r="L165">
        <v>4.3</v>
      </c>
      <c r="M165">
        <v>692008.64</v>
      </c>
      <c r="N165">
        <v>116337.87</v>
      </c>
      <c r="O165">
        <f t="shared" si="12"/>
        <v>0</v>
      </c>
      <c r="P165">
        <f t="shared" si="13"/>
        <v>1</v>
      </c>
      <c r="Q165">
        <f t="shared" si="14"/>
        <v>0</v>
      </c>
      <c r="R165">
        <f t="shared" si="15"/>
        <v>0</v>
      </c>
      <c r="S165">
        <f t="shared" si="16"/>
        <v>1</v>
      </c>
      <c r="T165">
        <f t="shared" si="17"/>
        <v>0</v>
      </c>
    </row>
    <row r="166" spans="1:20">
      <c r="A166" t="s">
        <v>63</v>
      </c>
      <c r="B166" s="3">
        <v>45658</v>
      </c>
      <c r="C166" t="s">
        <v>20</v>
      </c>
      <c r="D166" t="s">
        <v>28</v>
      </c>
      <c r="E166">
        <v>72150.53</v>
      </c>
      <c r="F166">
        <v>9323</v>
      </c>
      <c r="G166">
        <v>0.157</v>
      </c>
      <c r="H166">
        <v>22</v>
      </c>
      <c r="I166">
        <v>82.9</v>
      </c>
      <c r="J166">
        <v>11.37</v>
      </c>
      <c r="K166">
        <v>1</v>
      </c>
      <c r="L166">
        <v>4.3</v>
      </c>
      <c r="M166">
        <v>825797.91</v>
      </c>
      <c r="N166">
        <v>130945.24</v>
      </c>
      <c r="O166">
        <f t="shared" si="12"/>
        <v>1</v>
      </c>
      <c r="P166">
        <f t="shared" si="13"/>
        <v>0</v>
      </c>
      <c r="Q166">
        <f t="shared" si="14"/>
        <v>0</v>
      </c>
      <c r="R166">
        <f t="shared" si="15"/>
        <v>0</v>
      </c>
      <c r="S166">
        <f t="shared" si="16"/>
        <v>0</v>
      </c>
      <c r="T166">
        <f t="shared" si="17"/>
        <v>1</v>
      </c>
    </row>
    <row r="167" spans="1:20">
      <c r="A167" t="s">
        <v>63</v>
      </c>
      <c r="B167" s="3">
        <v>45689</v>
      </c>
      <c r="C167" t="s">
        <v>20</v>
      </c>
      <c r="D167" t="s">
        <v>28</v>
      </c>
      <c r="E167">
        <v>35303.300000000003</v>
      </c>
      <c r="F167">
        <v>8789</v>
      </c>
      <c r="G167">
        <v>0.123</v>
      </c>
      <c r="H167">
        <v>22</v>
      </c>
      <c r="I167">
        <v>86.1</v>
      </c>
      <c r="J167">
        <v>9.43</v>
      </c>
      <c r="K167">
        <v>0</v>
      </c>
      <c r="L167">
        <v>4.2</v>
      </c>
      <c r="M167">
        <v>706285.52</v>
      </c>
      <c r="N167">
        <v>138014.72</v>
      </c>
      <c r="O167">
        <f t="shared" si="12"/>
        <v>1</v>
      </c>
      <c r="P167">
        <f t="shared" si="13"/>
        <v>0</v>
      </c>
      <c r="Q167">
        <f t="shared" si="14"/>
        <v>0</v>
      </c>
      <c r="R167">
        <f t="shared" si="15"/>
        <v>0</v>
      </c>
      <c r="S167">
        <f t="shared" si="16"/>
        <v>0</v>
      </c>
      <c r="T167">
        <f t="shared" si="17"/>
        <v>1</v>
      </c>
    </row>
    <row r="168" spans="1:20">
      <c r="A168" t="s">
        <v>63</v>
      </c>
      <c r="B168" s="3">
        <v>45717</v>
      </c>
      <c r="C168" t="s">
        <v>20</v>
      </c>
      <c r="D168" t="s">
        <v>28</v>
      </c>
      <c r="E168">
        <v>30301.86</v>
      </c>
      <c r="F168">
        <v>6939</v>
      </c>
      <c r="G168">
        <v>0.09</v>
      </c>
      <c r="H168">
        <v>16</v>
      </c>
      <c r="I168">
        <v>90.3</v>
      </c>
      <c r="J168">
        <v>3.49</v>
      </c>
      <c r="K168">
        <v>0</v>
      </c>
      <c r="L168">
        <v>4</v>
      </c>
      <c r="M168">
        <v>665534.69999999995</v>
      </c>
      <c r="N168">
        <v>113167.73</v>
      </c>
      <c r="O168">
        <f t="shared" si="12"/>
        <v>1</v>
      </c>
      <c r="P168">
        <f t="shared" si="13"/>
        <v>0</v>
      </c>
      <c r="Q168">
        <f t="shared" si="14"/>
        <v>0</v>
      </c>
      <c r="R168">
        <f t="shared" si="15"/>
        <v>0</v>
      </c>
      <c r="S168">
        <f t="shared" si="16"/>
        <v>0</v>
      </c>
      <c r="T168">
        <f t="shared" si="17"/>
        <v>1</v>
      </c>
    </row>
    <row r="169" spans="1:20">
      <c r="A169" t="s">
        <v>63</v>
      </c>
      <c r="B169" s="3">
        <v>45748</v>
      </c>
      <c r="C169" t="s">
        <v>20</v>
      </c>
      <c r="D169" t="s">
        <v>28</v>
      </c>
      <c r="E169">
        <v>78432.14</v>
      </c>
      <c r="F169">
        <v>9440</v>
      </c>
      <c r="G169">
        <v>0.126</v>
      </c>
      <c r="H169">
        <v>23</v>
      </c>
      <c r="I169">
        <v>89.2</v>
      </c>
      <c r="J169">
        <v>7.86</v>
      </c>
      <c r="K169">
        <v>0</v>
      </c>
      <c r="L169">
        <v>4.0999999999999996</v>
      </c>
      <c r="M169">
        <v>820729.29</v>
      </c>
      <c r="N169">
        <v>159325.47</v>
      </c>
      <c r="O169">
        <f t="shared" si="12"/>
        <v>1</v>
      </c>
      <c r="P169">
        <f t="shared" si="13"/>
        <v>0</v>
      </c>
      <c r="Q169">
        <f t="shared" si="14"/>
        <v>0</v>
      </c>
      <c r="R169">
        <f t="shared" si="15"/>
        <v>0</v>
      </c>
      <c r="S169">
        <f t="shared" si="16"/>
        <v>0</v>
      </c>
      <c r="T169">
        <f t="shared" si="17"/>
        <v>1</v>
      </c>
    </row>
    <row r="170" spans="1:20">
      <c r="A170" t="s">
        <v>64</v>
      </c>
      <c r="B170" s="3">
        <v>45658</v>
      </c>
      <c r="C170" t="s">
        <v>15</v>
      </c>
      <c r="D170" t="s">
        <v>16</v>
      </c>
      <c r="E170">
        <v>62059.18</v>
      </c>
      <c r="F170">
        <v>9374</v>
      </c>
      <c r="G170">
        <v>0.13600000000000001</v>
      </c>
      <c r="H170">
        <v>25</v>
      </c>
      <c r="I170">
        <v>87.1</v>
      </c>
      <c r="J170">
        <v>12.55</v>
      </c>
      <c r="K170">
        <v>0</v>
      </c>
      <c r="L170">
        <v>4.9000000000000004</v>
      </c>
      <c r="M170">
        <v>739831.73</v>
      </c>
      <c r="N170">
        <v>119490.21</v>
      </c>
      <c r="O170">
        <f t="shared" si="12"/>
        <v>0</v>
      </c>
      <c r="P170">
        <f t="shared" si="13"/>
        <v>0</v>
      </c>
      <c r="Q170">
        <f t="shared" si="14"/>
        <v>1</v>
      </c>
      <c r="R170">
        <f t="shared" si="15"/>
        <v>0</v>
      </c>
      <c r="S170">
        <f t="shared" si="16"/>
        <v>0</v>
      </c>
      <c r="T170">
        <f t="shared" si="17"/>
        <v>0</v>
      </c>
    </row>
    <row r="171" spans="1:20">
      <c r="A171" t="s">
        <v>64</v>
      </c>
      <c r="B171" s="3">
        <v>45689</v>
      </c>
      <c r="C171" t="s">
        <v>15</v>
      </c>
      <c r="D171" t="s">
        <v>16</v>
      </c>
      <c r="E171">
        <v>32834.480000000003</v>
      </c>
      <c r="F171">
        <v>7576</v>
      </c>
      <c r="G171">
        <v>9.9000000000000005E-2</v>
      </c>
      <c r="H171">
        <v>15</v>
      </c>
      <c r="I171">
        <v>84.1</v>
      </c>
      <c r="J171">
        <v>3.48</v>
      </c>
      <c r="K171">
        <v>0</v>
      </c>
      <c r="L171">
        <v>5</v>
      </c>
      <c r="M171">
        <v>593637.14</v>
      </c>
      <c r="N171">
        <v>106648.14</v>
      </c>
      <c r="O171">
        <f t="shared" si="12"/>
        <v>0</v>
      </c>
      <c r="P171">
        <f t="shared" si="13"/>
        <v>0</v>
      </c>
      <c r="Q171">
        <f t="shared" si="14"/>
        <v>1</v>
      </c>
      <c r="R171">
        <f t="shared" si="15"/>
        <v>0</v>
      </c>
      <c r="S171">
        <f t="shared" si="16"/>
        <v>0</v>
      </c>
      <c r="T171">
        <f t="shared" si="17"/>
        <v>0</v>
      </c>
    </row>
    <row r="172" spans="1:20">
      <c r="A172" t="s">
        <v>64</v>
      </c>
      <c r="B172" s="3">
        <v>45717</v>
      </c>
      <c r="C172" t="s">
        <v>15</v>
      </c>
      <c r="D172" t="s">
        <v>16</v>
      </c>
      <c r="E172">
        <v>50825.08</v>
      </c>
      <c r="F172">
        <v>8949</v>
      </c>
      <c r="G172">
        <v>0.157</v>
      </c>
      <c r="H172">
        <v>21</v>
      </c>
      <c r="I172">
        <v>84.7</v>
      </c>
      <c r="J172">
        <v>7.73</v>
      </c>
      <c r="K172">
        <v>0</v>
      </c>
      <c r="L172">
        <v>4.9000000000000004</v>
      </c>
      <c r="M172">
        <v>769702.76</v>
      </c>
      <c r="N172">
        <v>158697</v>
      </c>
      <c r="O172">
        <f t="shared" si="12"/>
        <v>0</v>
      </c>
      <c r="P172">
        <f t="shared" si="13"/>
        <v>0</v>
      </c>
      <c r="Q172">
        <f t="shared" si="14"/>
        <v>1</v>
      </c>
      <c r="R172">
        <f t="shared" si="15"/>
        <v>0</v>
      </c>
      <c r="S172">
        <f t="shared" si="16"/>
        <v>0</v>
      </c>
      <c r="T172">
        <f t="shared" si="17"/>
        <v>0</v>
      </c>
    </row>
    <row r="173" spans="1:20">
      <c r="A173" t="s">
        <v>64</v>
      </c>
      <c r="B173" s="3">
        <v>45748</v>
      </c>
      <c r="C173" t="s">
        <v>15</v>
      </c>
      <c r="D173" t="s">
        <v>16</v>
      </c>
      <c r="E173">
        <v>36606.51</v>
      </c>
      <c r="F173">
        <v>7671</v>
      </c>
      <c r="G173">
        <v>0.11799999999999999</v>
      </c>
      <c r="H173">
        <v>18</v>
      </c>
      <c r="I173">
        <v>89.8</v>
      </c>
      <c r="J173">
        <v>0.25</v>
      </c>
      <c r="K173">
        <v>0</v>
      </c>
      <c r="L173">
        <v>4.4000000000000004</v>
      </c>
      <c r="M173">
        <v>679731.57</v>
      </c>
      <c r="N173">
        <v>121546.42</v>
      </c>
      <c r="O173">
        <f t="shared" si="12"/>
        <v>0</v>
      </c>
      <c r="P173">
        <f t="shared" si="13"/>
        <v>0</v>
      </c>
      <c r="Q173">
        <f t="shared" si="14"/>
        <v>1</v>
      </c>
      <c r="R173">
        <f t="shared" si="15"/>
        <v>0</v>
      </c>
      <c r="S173">
        <f t="shared" si="16"/>
        <v>0</v>
      </c>
      <c r="T173">
        <f t="shared" si="17"/>
        <v>0</v>
      </c>
    </row>
    <row r="174" spans="1:20">
      <c r="A174" t="s">
        <v>65</v>
      </c>
      <c r="B174" s="3">
        <v>45658</v>
      </c>
      <c r="C174" t="s">
        <v>15</v>
      </c>
      <c r="D174" t="s">
        <v>16</v>
      </c>
      <c r="E174">
        <v>65237.79</v>
      </c>
      <c r="F174">
        <v>8741</v>
      </c>
      <c r="G174">
        <v>0.157</v>
      </c>
      <c r="H174">
        <v>20</v>
      </c>
      <c r="I174">
        <v>94.4</v>
      </c>
      <c r="J174">
        <v>6.43</v>
      </c>
      <c r="K174">
        <v>0</v>
      </c>
      <c r="L174">
        <v>3.3</v>
      </c>
      <c r="M174">
        <v>780344.18</v>
      </c>
      <c r="N174">
        <v>118239.09</v>
      </c>
      <c r="O174">
        <f t="shared" si="12"/>
        <v>0</v>
      </c>
      <c r="P174">
        <f t="shared" si="13"/>
        <v>0</v>
      </c>
      <c r="Q174">
        <f t="shared" si="14"/>
        <v>1</v>
      </c>
      <c r="R174">
        <f t="shared" si="15"/>
        <v>0</v>
      </c>
      <c r="S174">
        <f t="shared" si="16"/>
        <v>0</v>
      </c>
      <c r="T174">
        <f t="shared" si="17"/>
        <v>0</v>
      </c>
    </row>
    <row r="175" spans="1:20">
      <c r="A175" t="s">
        <v>65</v>
      </c>
      <c r="B175" s="3">
        <v>45689</v>
      </c>
      <c r="C175" t="s">
        <v>15</v>
      </c>
      <c r="D175" t="s">
        <v>16</v>
      </c>
      <c r="E175">
        <v>43645.98</v>
      </c>
      <c r="F175">
        <v>9480</v>
      </c>
      <c r="G175">
        <v>0.109</v>
      </c>
      <c r="H175">
        <v>22</v>
      </c>
      <c r="I175">
        <v>89</v>
      </c>
      <c r="J175">
        <v>2.11</v>
      </c>
      <c r="K175">
        <v>0</v>
      </c>
      <c r="L175">
        <v>3.1</v>
      </c>
      <c r="M175">
        <v>721364.11</v>
      </c>
      <c r="N175">
        <v>147272.81</v>
      </c>
      <c r="O175">
        <f t="shared" si="12"/>
        <v>0</v>
      </c>
      <c r="P175">
        <f t="shared" si="13"/>
        <v>0</v>
      </c>
      <c r="Q175">
        <f t="shared" si="14"/>
        <v>1</v>
      </c>
      <c r="R175">
        <f t="shared" si="15"/>
        <v>0</v>
      </c>
      <c r="S175">
        <f t="shared" si="16"/>
        <v>0</v>
      </c>
      <c r="T175">
        <f t="shared" si="17"/>
        <v>0</v>
      </c>
    </row>
    <row r="176" spans="1:20">
      <c r="A176" t="s">
        <v>65</v>
      </c>
      <c r="B176" s="3">
        <v>45717</v>
      </c>
      <c r="C176" t="s">
        <v>15</v>
      </c>
      <c r="D176" t="s">
        <v>16</v>
      </c>
      <c r="E176">
        <v>68040.149999999994</v>
      </c>
      <c r="F176">
        <v>9826</v>
      </c>
      <c r="G176">
        <v>0.125</v>
      </c>
      <c r="H176">
        <v>20</v>
      </c>
      <c r="I176">
        <v>83.9</v>
      </c>
      <c r="J176">
        <v>9.1199999999999992</v>
      </c>
      <c r="K176">
        <v>0</v>
      </c>
      <c r="L176">
        <v>3.6</v>
      </c>
      <c r="M176">
        <v>758138.29</v>
      </c>
      <c r="N176">
        <v>132975.26</v>
      </c>
      <c r="O176">
        <f t="shared" si="12"/>
        <v>0</v>
      </c>
      <c r="P176">
        <f t="shared" si="13"/>
        <v>0</v>
      </c>
      <c r="Q176">
        <f t="shared" si="14"/>
        <v>1</v>
      </c>
      <c r="R176">
        <f t="shared" si="15"/>
        <v>0</v>
      </c>
      <c r="S176">
        <f t="shared" si="16"/>
        <v>0</v>
      </c>
      <c r="T176">
        <f t="shared" si="17"/>
        <v>0</v>
      </c>
    </row>
    <row r="177" spans="1:20">
      <c r="A177" t="s">
        <v>65</v>
      </c>
      <c r="B177" s="3">
        <v>45748</v>
      </c>
      <c r="C177" t="s">
        <v>15</v>
      </c>
      <c r="D177" t="s">
        <v>16</v>
      </c>
      <c r="E177">
        <v>63043.94</v>
      </c>
      <c r="F177">
        <v>10402</v>
      </c>
      <c r="G177">
        <v>0.159</v>
      </c>
      <c r="H177">
        <v>23</v>
      </c>
      <c r="I177">
        <v>93.9</v>
      </c>
      <c r="J177">
        <v>2.71</v>
      </c>
      <c r="K177">
        <v>0</v>
      </c>
      <c r="L177">
        <v>3.1</v>
      </c>
      <c r="M177">
        <v>804264</v>
      </c>
      <c r="N177">
        <v>167117.91</v>
      </c>
      <c r="O177">
        <f t="shared" si="12"/>
        <v>0</v>
      </c>
      <c r="P177">
        <f t="shared" si="13"/>
        <v>0</v>
      </c>
      <c r="Q177">
        <f t="shared" si="14"/>
        <v>1</v>
      </c>
      <c r="R177">
        <f t="shared" si="15"/>
        <v>0</v>
      </c>
      <c r="S177">
        <f t="shared" si="16"/>
        <v>0</v>
      </c>
      <c r="T177">
        <f t="shared" si="17"/>
        <v>0</v>
      </c>
    </row>
    <row r="178" spans="1:20">
      <c r="A178" t="s">
        <v>66</v>
      </c>
      <c r="B178" s="3">
        <v>45658</v>
      </c>
      <c r="C178" t="s">
        <v>27</v>
      </c>
      <c r="D178" t="s">
        <v>21</v>
      </c>
      <c r="E178">
        <v>67494.09</v>
      </c>
      <c r="F178">
        <v>12361</v>
      </c>
      <c r="G178">
        <v>4.5999999999999999E-2</v>
      </c>
      <c r="H178">
        <v>24</v>
      </c>
      <c r="I178">
        <v>76.599999999999994</v>
      </c>
      <c r="J178">
        <v>3.65</v>
      </c>
      <c r="K178">
        <v>1</v>
      </c>
      <c r="L178">
        <v>3.7</v>
      </c>
      <c r="M178">
        <v>887537.75</v>
      </c>
      <c r="N178">
        <v>160362.92000000001</v>
      </c>
      <c r="O178">
        <f t="shared" si="12"/>
        <v>0</v>
      </c>
      <c r="P178">
        <f t="shared" si="13"/>
        <v>0</v>
      </c>
      <c r="Q178">
        <f t="shared" si="14"/>
        <v>0</v>
      </c>
      <c r="R178">
        <f t="shared" si="15"/>
        <v>1</v>
      </c>
      <c r="S178">
        <f t="shared" si="16"/>
        <v>0</v>
      </c>
      <c r="T178">
        <f t="shared" si="17"/>
        <v>0</v>
      </c>
    </row>
    <row r="179" spans="1:20">
      <c r="A179" t="s">
        <v>66</v>
      </c>
      <c r="B179" s="3">
        <v>45689</v>
      </c>
      <c r="C179" t="s">
        <v>27</v>
      </c>
      <c r="D179" t="s">
        <v>21</v>
      </c>
      <c r="E179">
        <v>29389.32</v>
      </c>
      <c r="F179">
        <v>7925</v>
      </c>
      <c r="G179">
        <v>0.17699999999999999</v>
      </c>
      <c r="H179">
        <v>21</v>
      </c>
      <c r="I179">
        <v>90.9</v>
      </c>
      <c r="J179">
        <v>7.86</v>
      </c>
      <c r="K179">
        <v>0</v>
      </c>
      <c r="L179">
        <v>4</v>
      </c>
      <c r="M179">
        <v>783582</v>
      </c>
      <c r="N179">
        <v>130670.93</v>
      </c>
      <c r="O179">
        <f t="shared" si="12"/>
        <v>0</v>
      </c>
      <c r="P179">
        <f t="shared" si="13"/>
        <v>0</v>
      </c>
      <c r="Q179">
        <f t="shared" si="14"/>
        <v>0</v>
      </c>
      <c r="R179">
        <f t="shared" si="15"/>
        <v>1</v>
      </c>
      <c r="S179">
        <f t="shared" si="16"/>
        <v>0</v>
      </c>
      <c r="T179">
        <f t="shared" si="17"/>
        <v>0</v>
      </c>
    </row>
    <row r="180" spans="1:20">
      <c r="A180" t="s">
        <v>66</v>
      </c>
      <c r="B180" s="3">
        <v>45717</v>
      </c>
      <c r="C180" t="s">
        <v>27</v>
      </c>
      <c r="D180" t="s">
        <v>21</v>
      </c>
      <c r="E180">
        <v>40535.089999999997</v>
      </c>
      <c r="F180">
        <v>8870</v>
      </c>
      <c r="G180">
        <v>4.1000000000000002E-2</v>
      </c>
      <c r="H180">
        <v>21</v>
      </c>
      <c r="I180">
        <v>86.6</v>
      </c>
      <c r="J180">
        <v>0.3</v>
      </c>
      <c r="K180">
        <v>0</v>
      </c>
      <c r="L180">
        <v>4.0999999999999996</v>
      </c>
      <c r="M180">
        <v>781955.52</v>
      </c>
      <c r="N180">
        <v>152578.71</v>
      </c>
      <c r="O180">
        <f t="shared" si="12"/>
        <v>0</v>
      </c>
      <c r="P180">
        <f t="shared" si="13"/>
        <v>0</v>
      </c>
      <c r="Q180">
        <f t="shared" si="14"/>
        <v>0</v>
      </c>
      <c r="R180">
        <f t="shared" si="15"/>
        <v>1</v>
      </c>
      <c r="S180">
        <f t="shared" si="16"/>
        <v>0</v>
      </c>
      <c r="T180">
        <f t="shared" si="17"/>
        <v>0</v>
      </c>
    </row>
    <row r="181" spans="1:20">
      <c r="A181" t="s">
        <v>66</v>
      </c>
      <c r="B181" s="3">
        <v>45748</v>
      </c>
      <c r="C181" t="s">
        <v>27</v>
      </c>
      <c r="D181" t="s">
        <v>21</v>
      </c>
      <c r="E181">
        <v>74881.56</v>
      </c>
      <c r="F181">
        <v>9999</v>
      </c>
      <c r="G181">
        <v>1.2999999999999999E-2</v>
      </c>
      <c r="H181">
        <v>20</v>
      </c>
      <c r="I181">
        <v>89.6</v>
      </c>
      <c r="J181">
        <v>8.44</v>
      </c>
      <c r="K181">
        <v>0</v>
      </c>
      <c r="L181">
        <v>4.0999999999999996</v>
      </c>
      <c r="M181">
        <v>898031.04</v>
      </c>
      <c r="N181">
        <v>138666.5</v>
      </c>
      <c r="O181">
        <f t="shared" si="12"/>
        <v>0</v>
      </c>
      <c r="P181">
        <f t="shared" si="13"/>
        <v>0</v>
      </c>
      <c r="Q181">
        <f t="shared" si="14"/>
        <v>0</v>
      </c>
      <c r="R181">
        <f t="shared" si="15"/>
        <v>1</v>
      </c>
      <c r="S181">
        <f t="shared" si="16"/>
        <v>0</v>
      </c>
      <c r="T181">
        <f t="shared" si="17"/>
        <v>0</v>
      </c>
    </row>
    <row r="182" spans="1:20">
      <c r="A182" t="s">
        <v>67</v>
      </c>
      <c r="B182" s="3">
        <v>45658</v>
      </c>
      <c r="C182" t="s">
        <v>27</v>
      </c>
      <c r="D182" t="s">
        <v>16</v>
      </c>
      <c r="E182">
        <v>68491.11</v>
      </c>
      <c r="F182">
        <v>11154</v>
      </c>
      <c r="G182">
        <v>1E-3</v>
      </c>
      <c r="H182">
        <v>24</v>
      </c>
      <c r="I182">
        <v>89.4</v>
      </c>
      <c r="J182">
        <v>5.27</v>
      </c>
      <c r="K182">
        <v>1</v>
      </c>
      <c r="L182">
        <v>3.9</v>
      </c>
      <c r="M182">
        <v>855341.28</v>
      </c>
      <c r="N182">
        <v>175823.8</v>
      </c>
      <c r="O182">
        <f t="shared" si="12"/>
        <v>0</v>
      </c>
      <c r="P182">
        <f t="shared" si="13"/>
        <v>0</v>
      </c>
      <c r="Q182">
        <f t="shared" si="14"/>
        <v>0</v>
      </c>
      <c r="R182">
        <f t="shared" si="15"/>
        <v>0</v>
      </c>
      <c r="S182">
        <f t="shared" si="16"/>
        <v>0</v>
      </c>
      <c r="T182">
        <f t="shared" si="17"/>
        <v>0</v>
      </c>
    </row>
    <row r="183" spans="1:20">
      <c r="A183" t="s">
        <v>67</v>
      </c>
      <c r="B183" s="3">
        <v>45689</v>
      </c>
      <c r="C183" t="s">
        <v>27</v>
      </c>
      <c r="D183" t="s">
        <v>16</v>
      </c>
      <c r="E183">
        <v>45209.25</v>
      </c>
      <c r="F183">
        <v>9287</v>
      </c>
      <c r="G183">
        <v>0.14099999999999999</v>
      </c>
      <c r="H183">
        <v>22</v>
      </c>
      <c r="I183">
        <v>86.4</v>
      </c>
      <c r="J183">
        <v>13.22</v>
      </c>
      <c r="K183">
        <v>0</v>
      </c>
      <c r="L183">
        <v>3.6</v>
      </c>
      <c r="M183">
        <v>751393.88</v>
      </c>
      <c r="N183">
        <v>91480.320000000007</v>
      </c>
      <c r="O183">
        <f t="shared" si="12"/>
        <v>0</v>
      </c>
      <c r="P183">
        <f t="shared" si="13"/>
        <v>0</v>
      </c>
      <c r="Q183">
        <f t="shared" si="14"/>
        <v>0</v>
      </c>
      <c r="R183">
        <f t="shared" si="15"/>
        <v>0</v>
      </c>
      <c r="S183">
        <f t="shared" si="16"/>
        <v>0</v>
      </c>
      <c r="T183">
        <f t="shared" si="17"/>
        <v>0</v>
      </c>
    </row>
    <row r="184" spans="1:20">
      <c r="A184" t="s">
        <v>67</v>
      </c>
      <c r="B184" s="3">
        <v>45717</v>
      </c>
      <c r="C184" t="s">
        <v>27</v>
      </c>
      <c r="D184" t="s">
        <v>16</v>
      </c>
      <c r="E184">
        <v>63010.23</v>
      </c>
      <c r="F184">
        <v>9812</v>
      </c>
      <c r="G184">
        <v>0.113</v>
      </c>
      <c r="H184">
        <v>24</v>
      </c>
      <c r="I184">
        <v>76.8</v>
      </c>
      <c r="J184">
        <v>1.02</v>
      </c>
      <c r="K184">
        <v>1</v>
      </c>
      <c r="L184">
        <v>3.8</v>
      </c>
      <c r="M184">
        <v>761077.08</v>
      </c>
      <c r="N184">
        <v>113605.93</v>
      </c>
      <c r="O184">
        <f t="shared" si="12"/>
        <v>0</v>
      </c>
      <c r="P184">
        <f t="shared" si="13"/>
        <v>0</v>
      </c>
      <c r="Q184">
        <f t="shared" si="14"/>
        <v>0</v>
      </c>
      <c r="R184">
        <f t="shared" si="15"/>
        <v>0</v>
      </c>
      <c r="S184">
        <f t="shared" si="16"/>
        <v>0</v>
      </c>
      <c r="T184">
        <f t="shared" si="17"/>
        <v>0</v>
      </c>
    </row>
    <row r="185" spans="1:20">
      <c r="A185" t="s">
        <v>67</v>
      </c>
      <c r="B185" s="3">
        <v>45748</v>
      </c>
      <c r="C185" t="s">
        <v>27</v>
      </c>
      <c r="D185" t="s">
        <v>16</v>
      </c>
      <c r="E185">
        <v>57948.88</v>
      </c>
      <c r="F185">
        <v>10741</v>
      </c>
      <c r="G185">
        <v>7.0000000000000007E-2</v>
      </c>
      <c r="H185">
        <v>25</v>
      </c>
      <c r="I185">
        <v>90.1</v>
      </c>
      <c r="J185">
        <v>4.03</v>
      </c>
      <c r="K185">
        <v>0</v>
      </c>
      <c r="L185">
        <v>3.1</v>
      </c>
      <c r="M185">
        <v>819660.59</v>
      </c>
      <c r="N185">
        <v>172699.95</v>
      </c>
      <c r="O185">
        <f t="shared" si="12"/>
        <v>0</v>
      </c>
      <c r="P185">
        <f t="shared" si="13"/>
        <v>0</v>
      </c>
      <c r="Q185">
        <f t="shared" si="14"/>
        <v>0</v>
      </c>
      <c r="R185">
        <f t="shared" si="15"/>
        <v>0</v>
      </c>
      <c r="S185">
        <f t="shared" si="16"/>
        <v>0</v>
      </c>
      <c r="T185">
        <f t="shared" si="17"/>
        <v>0</v>
      </c>
    </row>
    <row r="186" spans="1:20">
      <c r="A186" t="s">
        <v>68</v>
      </c>
      <c r="B186" s="3">
        <v>45658</v>
      </c>
      <c r="C186" t="s">
        <v>20</v>
      </c>
      <c r="D186" t="s">
        <v>18</v>
      </c>
      <c r="E186">
        <v>71941.62</v>
      </c>
      <c r="F186">
        <v>6084</v>
      </c>
      <c r="G186">
        <v>7.1999999999999995E-2</v>
      </c>
      <c r="H186">
        <v>13</v>
      </c>
      <c r="I186">
        <v>93.7</v>
      </c>
      <c r="J186">
        <v>2.34</v>
      </c>
      <c r="K186">
        <v>0</v>
      </c>
      <c r="L186">
        <v>4.4000000000000004</v>
      </c>
      <c r="M186">
        <v>681855.56</v>
      </c>
      <c r="N186">
        <v>117645.61</v>
      </c>
      <c r="O186">
        <f t="shared" si="12"/>
        <v>1</v>
      </c>
      <c r="P186">
        <f t="shared" si="13"/>
        <v>0</v>
      </c>
      <c r="Q186">
        <f t="shared" si="14"/>
        <v>0</v>
      </c>
      <c r="R186">
        <f t="shared" si="15"/>
        <v>0</v>
      </c>
      <c r="S186">
        <f t="shared" si="16"/>
        <v>1</v>
      </c>
      <c r="T186">
        <f t="shared" si="17"/>
        <v>0</v>
      </c>
    </row>
    <row r="187" spans="1:20">
      <c r="A187" t="s">
        <v>68</v>
      </c>
      <c r="B187" s="3">
        <v>45689</v>
      </c>
      <c r="C187" t="s">
        <v>20</v>
      </c>
      <c r="D187" t="s">
        <v>18</v>
      </c>
      <c r="E187">
        <v>57147.88</v>
      </c>
      <c r="F187">
        <v>5252</v>
      </c>
      <c r="G187">
        <v>0.161</v>
      </c>
      <c r="H187">
        <v>15</v>
      </c>
      <c r="I187">
        <v>95.5</v>
      </c>
      <c r="J187">
        <v>8.51</v>
      </c>
      <c r="K187">
        <v>0</v>
      </c>
      <c r="L187">
        <v>4.4000000000000004</v>
      </c>
      <c r="M187">
        <v>678311.17</v>
      </c>
      <c r="N187">
        <v>132029.76000000001</v>
      </c>
      <c r="O187">
        <f t="shared" si="12"/>
        <v>1</v>
      </c>
      <c r="P187">
        <f t="shared" si="13"/>
        <v>0</v>
      </c>
      <c r="Q187">
        <f t="shared" si="14"/>
        <v>0</v>
      </c>
      <c r="R187">
        <f t="shared" si="15"/>
        <v>0</v>
      </c>
      <c r="S187">
        <f t="shared" si="16"/>
        <v>1</v>
      </c>
      <c r="T187">
        <f t="shared" si="17"/>
        <v>0</v>
      </c>
    </row>
    <row r="188" spans="1:20">
      <c r="A188" t="s">
        <v>68</v>
      </c>
      <c r="B188" s="3">
        <v>45717</v>
      </c>
      <c r="C188" t="s">
        <v>20</v>
      </c>
      <c r="D188" t="s">
        <v>18</v>
      </c>
      <c r="E188">
        <v>48031.74</v>
      </c>
      <c r="F188">
        <v>6516</v>
      </c>
      <c r="G188">
        <v>6.7000000000000004E-2</v>
      </c>
      <c r="H188">
        <v>14</v>
      </c>
      <c r="I188">
        <v>99</v>
      </c>
      <c r="J188">
        <v>0.48</v>
      </c>
      <c r="K188">
        <v>1</v>
      </c>
      <c r="L188">
        <v>4.3</v>
      </c>
      <c r="M188">
        <v>765906.95</v>
      </c>
      <c r="N188">
        <v>114005.9</v>
      </c>
      <c r="O188">
        <f t="shared" si="12"/>
        <v>1</v>
      </c>
      <c r="P188">
        <f t="shared" si="13"/>
        <v>0</v>
      </c>
      <c r="Q188">
        <f t="shared" si="14"/>
        <v>0</v>
      </c>
      <c r="R188">
        <f t="shared" si="15"/>
        <v>0</v>
      </c>
      <c r="S188">
        <f t="shared" si="16"/>
        <v>1</v>
      </c>
      <c r="T188">
        <f t="shared" si="17"/>
        <v>0</v>
      </c>
    </row>
    <row r="189" spans="1:20">
      <c r="A189" t="s">
        <v>68</v>
      </c>
      <c r="B189" s="3">
        <v>45748</v>
      </c>
      <c r="C189" t="s">
        <v>20</v>
      </c>
      <c r="D189" t="s">
        <v>18</v>
      </c>
      <c r="E189">
        <v>72784.800000000003</v>
      </c>
      <c r="F189">
        <v>7932</v>
      </c>
      <c r="G189">
        <v>9.4E-2</v>
      </c>
      <c r="H189">
        <v>20</v>
      </c>
      <c r="I189">
        <v>74.900000000000006</v>
      </c>
      <c r="J189">
        <v>13.62</v>
      </c>
      <c r="K189">
        <v>0</v>
      </c>
      <c r="L189">
        <v>4.2</v>
      </c>
      <c r="M189">
        <v>712546.38</v>
      </c>
      <c r="N189">
        <v>101480.04</v>
      </c>
      <c r="O189">
        <f t="shared" si="12"/>
        <v>1</v>
      </c>
      <c r="P189">
        <f t="shared" si="13"/>
        <v>0</v>
      </c>
      <c r="Q189">
        <f t="shared" si="14"/>
        <v>0</v>
      </c>
      <c r="R189">
        <f t="shared" si="15"/>
        <v>0</v>
      </c>
      <c r="S189">
        <f t="shared" si="16"/>
        <v>1</v>
      </c>
      <c r="T189">
        <f t="shared" si="17"/>
        <v>0</v>
      </c>
    </row>
    <row r="190" spans="1:20">
      <c r="A190" t="s">
        <v>69</v>
      </c>
      <c r="B190" s="3">
        <v>45658</v>
      </c>
      <c r="C190" t="s">
        <v>15</v>
      </c>
      <c r="D190" t="s">
        <v>18</v>
      </c>
      <c r="E190">
        <v>71641.899999999994</v>
      </c>
      <c r="F190">
        <v>3506</v>
      </c>
      <c r="G190">
        <v>0</v>
      </c>
      <c r="H190">
        <v>11</v>
      </c>
      <c r="I190">
        <v>86.4</v>
      </c>
      <c r="J190">
        <v>7.77</v>
      </c>
      <c r="K190">
        <v>0</v>
      </c>
      <c r="L190">
        <v>4.0999999999999996</v>
      </c>
      <c r="M190">
        <v>625993.82999999996</v>
      </c>
      <c r="N190">
        <v>98960.320000000007</v>
      </c>
      <c r="O190">
        <f t="shared" si="12"/>
        <v>0</v>
      </c>
      <c r="P190">
        <f t="shared" si="13"/>
        <v>0</v>
      </c>
      <c r="Q190">
        <f t="shared" si="14"/>
        <v>1</v>
      </c>
      <c r="R190">
        <f t="shared" si="15"/>
        <v>0</v>
      </c>
      <c r="S190">
        <f t="shared" si="16"/>
        <v>1</v>
      </c>
      <c r="T190">
        <f t="shared" si="17"/>
        <v>0</v>
      </c>
    </row>
    <row r="191" spans="1:20">
      <c r="A191" t="s">
        <v>69</v>
      </c>
      <c r="B191" s="3">
        <v>45689</v>
      </c>
      <c r="C191" t="s">
        <v>15</v>
      </c>
      <c r="D191" t="s">
        <v>18</v>
      </c>
      <c r="E191">
        <v>55788.61</v>
      </c>
      <c r="F191">
        <v>2312</v>
      </c>
      <c r="G191">
        <v>5.8000000000000003E-2</v>
      </c>
      <c r="H191">
        <v>10</v>
      </c>
      <c r="I191">
        <v>91.3</v>
      </c>
      <c r="J191">
        <v>1.99</v>
      </c>
      <c r="K191">
        <v>0</v>
      </c>
      <c r="L191">
        <v>3.8</v>
      </c>
      <c r="M191">
        <v>550962.93000000005</v>
      </c>
      <c r="N191">
        <v>97144.58</v>
      </c>
      <c r="O191">
        <f t="shared" si="12"/>
        <v>0</v>
      </c>
      <c r="P191">
        <f t="shared" si="13"/>
        <v>0</v>
      </c>
      <c r="Q191">
        <f t="shared" si="14"/>
        <v>1</v>
      </c>
      <c r="R191">
        <f t="shared" si="15"/>
        <v>0</v>
      </c>
      <c r="S191">
        <f t="shared" si="16"/>
        <v>1</v>
      </c>
      <c r="T191">
        <f t="shared" si="17"/>
        <v>0</v>
      </c>
    </row>
    <row r="192" spans="1:20">
      <c r="A192" t="s">
        <v>69</v>
      </c>
      <c r="B192" s="3">
        <v>45717</v>
      </c>
      <c r="C192" t="s">
        <v>15</v>
      </c>
      <c r="D192" t="s">
        <v>18</v>
      </c>
      <c r="E192">
        <v>37705.879999999997</v>
      </c>
      <c r="F192">
        <v>1268</v>
      </c>
      <c r="G192">
        <v>0.25900000000000001</v>
      </c>
      <c r="H192">
        <v>9</v>
      </c>
      <c r="I192">
        <v>84.1</v>
      </c>
      <c r="J192">
        <v>4.7699999999999996</v>
      </c>
      <c r="K192">
        <v>0</v>
      </c>
      <c r="L192">
        <v>3.8</v>
      </c>
      <c r="M192">
        <v>443275.59</v>
      </c>
      <c r="N192">
        <v>53544.36</v>
      </c>
      <c r="O192">
        <f t="shared" si="12"/>
        <v>0</v>
      </c>
      <c r="P192">
        <f t="shared" si="13"/>
        <v>0</v>
      </c>
      <c r="Q192">
        <f t="shared" si="14"/>
        <v>1</v>
      </c>
      <c r="R192">
        <f t="shared" si="15"/>
        <v>0</v>
      </c>
      <c r="S192">
        <f t="shared" si="16"/>
        <v>1</v>
      </c>
      <c r="T192">
        <f t="shared" si="17"/>
        <v>0</v>
      </c>
    </row>
    <row r="193" spans="1:20">
      <c r="A193" t="s">
        <v>69</v>
      </c>
      <c r="B193" s="3">
        <v>45748</v>
      </c>
      <c r="C193" t="s">
        <v>15</v>
      </c>
      <c r="D193" t="s">
        <v>18</v>
      </c>
      <c r="E193">
        <v>54966.18</v>
      </c>
      <c r="F193">
        <v>4423</v>
      </c>
      <c r="G193">
        <v>0.186</v>
      </c>
      <c r="H193">
        <v>13</v>
      </c>
      <c r="I193">
        <v>88.7</v>
      </c>
      <c r="J193">
        <v>0.2</v>
      </c>
      <c r="K193">
        <v>0</v>
      </c>
      <c r="L193">
        <v>4.4000000000000004</v>
      </c>
      <c r="M193">
        <v>554012.06999999995</v>
      </c>
      <c r="N193">
        <v>81101.62</v>
      </c>
      <c r="O193">
        <f t="shared" si="12"/>
        <v>0</v>
      </c>
      <c r="P193">
        <f t="shared" si="13"/>
        <v>0</v>
      </c>
      <c r="Q193">
        <f t="shared" si="14"/>
        <v>1</v>
      </c>
      <c r="R193">
        <f t="shared" si="15"/>
        <v>0</v>
      </c>
      <c r="S193">
        <f t="shared" si="16"/>
        <v>1</v>
      </c>
      <c r="T193">
        <f t="shared" si="17"/>
        <v>0</v>
      </c>
    </row>
    <row r="194" spans="1:20">
      <c r="A194" t="s">
        <v>70</v>
      </c>
      <c r="B194" s="3">
        <v>45658</v>
      </c>
      <c r="C194" t="s">
        <v>27</v>
      </c>
      <c r="D194" t="s">
        <v>16</v>
      </c>
      <c r="E194">
        <v>81796.740000000005</v>
      </c>
      <c r="F194">
        <v>6177</v>
      </c>
      <c r="G194">
        <v>0.16400000000000001</v>
      </c>
      <c r="H194">
        <v>14</v>
      </c>
      <c r="I194">
        <v>87.9</v>
      </c>
      <c r="J194">
        <v>0.53</v>
      </c>
      <c r="K194">
        <v>0</v>
      </c>
      <c r="L194">
        <v>3.2</v>
      </c>
      <c r="M194">
        <v>643428.85</v>
      </c>
      <c r="N194">
        <v>94477.63</v>
      </c>
      <c r="O194">
        <f t="shared" si="12"/>
        <v>0</v>
      </c>
      <c r="P194">
        <f t="shared" si="13"/>
        <v>0</v>
      </c>
      <c r="Q194">
        <f t="shared" si="14"/>
        <v>0</v>
      </c>
      <c r="R194">
        <f t="shared" si="15"/>
        <v>0</v>
      </c>
      <c r="S194">
        <f t="shared" si="16"/>
        <v>0</v>
      </c>
      <c r="T194">
        <f t="shared" si="17"/>
        <v>0</v>
      </c>
    </row>
    <row r="195" spans="1:20">
      <c r="A195" t="s">
        <v>70</v>
      </c>
      <c r="B195" s="3">
        <v>45689</v>
      </c>
      <c r="C195" t="s">
        <v>27</v>
      </c>
      <c r="D195" t="s">
        <v>16</v>
      </c>
      <c r="E195">
        <v>51133.43</v>
      </c>
      <c r="F195">
        <v>5150</v>
      </c>
      <c r="G195">
        <v>0.15</v>
      </c>
      <c r="H195">
        <v>12</v>
      </c>
      <c r="I195">
        <v>88.5</v>
      </c>
      <c r="J195">
        <v>1.54</v>
      </c>
      <c r="K195">
        <v>0</v>
      </c>
      <c r="L195">
        <v>3.2</v>
      </c>
      <c r="M195">
        <v>611924.27</v>
      </c>
      <c r="N195">
        <v>115488.75</v>
      </c>
      <c r="O195">
        <f t="shared" ref="O195:O258" si="18">IF(C195="North",1,0)</f>
        <v>0</v>
      </c>
      <c r="P195">
        <f t="shared" ref="P195:P258" si="19">IF(C195="South",1,0)</f>
        <v>0</v>
      </c>
      <c r="Q195">
        <f t="shared" ref="Q195:Q258" si="20">IF(C195="East",1,0)</f>
        <v>0</v>
      </c>
      <c r="R195">
        <f t="shared" ref="R195:R258" si="21">IF(D195="Airport",1,0)</f>
        <v>0</v>
      </c>
      <c r="S195">
        <f t="shared" ref="S195:S258" si="22">IF(D195="High Street",1,0)</f>
        <v>0</v>
      </c>
      <c r="T195">
        <f t="shared" ref="T195:T258" si="23">IF(D195="Mall",1,0)</f>
        <v>0</v>
      </c>
    </row>
    <row r="196" spans="1:20">
      <c r="A196" t="s">
        <v>70</v>
      </c>
      <c r="B196" s="3">
        <v>45717</v>
      </c>
      <c r="C196" t="s">
        <v>27</v>
      </c>
      <c r="D196" t="s">
        <v>16</v>
      </c>
      <c r="E196">
        <v>40220.18</v>
      </c>
      <c r="F196">
        <v>3783</v>
      </c>
      <c r="G196">
        <v>8.8999999999999996E-2</v>
      </c>
      <c r="H196">
        <v>14</v>
      </c>
      <c r="I196">
        <v>86.6</v>
      </c>
      <c r="J196">
        <v>3.63</v>
      </c>
      <c r="K196">
        <v>0</v>
      </c>
      <c r="L196">
        <v>3.7</v>
      </c>
      <c r="M196">
        <v>559422.02</v>
      </c>
      <c r="N196">
        <v>73528.740000000005</v>
      </c>
      <c r="O196">
        <f t="shared" si="18"/>
        <v>0</v>
      </c>
      <c r="P196">
        <f t="shared" si="19"/>
        <v>0</v>
      </c>
      <c r="Q196">
        <f t="shared" si="20"/>
        <v>0</v>
      </c>
      <c r="R196">
        <f t="shared" si="21"/>
        <v>0</v>
      </c>
      <c r="S196">
        <f t="shared" si="22"/>
        <v>0</v>
      </c>
      <c r="T196">
        <f t="shared" si="23"/>
        <v>0</v>
      </c>
    </row>
    <row r="197" spans="1:20">
      <c r="A197" t="s">
        <v>70</v>
      </c>
      <c r="B197" s="3">
        <v>45748</v>
      </c>
      <c r="C197" t="s">
        <v>27</v>
      </c>
      <c r="D197" t="s">
        <v>16</v>
      </c>
      <c r="E197">
        <v>41657.64</v>
      </c>
      <c r="F197">
        <v>3135</v>
      </c>
      <c r="G197">
        <v>0.22900000000000001</v>
      </c>
      <c r="H197">
        <v>7</v>
      </c>
      <c r="I197">
        <v>85.4</v>
      </c>
      <c r="J197">
        <v>13.48</v>
      </c>
      <c r="K197">
        <v>0</v>
      </c>
      <c r="L197" s="6">
        <v>3.92</v>
      </c>
      <c r="M197">
        <v>449465.06</v>
      </c>
      <c r="N197">
        <v>65694.78</v>
      </c>
      <c r="O197">
        <f t="shared" si="18"/>
        <v>0</v>
      </c>
      <c r="P197">
        <f t="shared" si="19"/>
        <v>0</v>
      </c>
      <c r="Q197">
        <f t="shared" si="20"/>
        <v>0</v>
      </c>
      <c r="R197">
        <f t="shared" si="21"/>
        <v>0</v>
      </c>
      <c r="S197">
        <f t="shared" si="22"/>
        <v>0</v>
      </c>
      <c r="T197">
        <f t="shared" si="23"/>
        <v>0</v>
      </c>
    </row>
    <row r="198" spans="1:20">
      <c r="A198" t="s">
        <v>71</v>
      </c>
      <c r="B198" s="3">
        <v>45658</v>
      </c>
      <c r="C198" t="s">
        <v>20</v>
      </c>
      <c r="D198" t="s">
        <v>16</v>
      </c>
      <c r="E198">
        <v>71851.45</v>
      </c>
      <c r="F198">
        <v>4970</v>
      </c>
      <c r="G198">
        <v>9.8000000000000004E-2</v>
      </c>
      <c r="H198">
        <v>11</v>
      </c>
      <c r="I198">
        <v>89.6</v>
      </c>
      <c r="J198">
        <v>0.2</v>
      </c>
      <c r="K198">
        <v>0</v>
      </c>
      <c r="L198">
        <v>4.2</v>
      </c>
      <c r="M198">
        <v>691447.43</v>
      </c>
      <c r="N198">
        <v>114077.69</v>
      </c>
      <c r="O198">
        <f t="shared" si="18"/>
        <v>1</v>
      </c>
      <c r="P198">
        <f t="shared" si="19"/>
        <v>0</v>
      </c>
      <c r="Q198">
        <f t="shared" si="20"/>
        <v>0</v>
      </c>
      <c r="R198">
        <f t="shared" si="21"/>
        <v>0</v>
      </c>
      <c r="S198">
        <f t="shared" si="22"/>
        <v>0</v>
      </c>
      <c r="T198">
        <f t="shared" si="23"/>
        <v>0</v>
      </c>
    </row>
    <row r="199" spans="1:20">
      <c r="A199" t="s">
        <v>71</v>
      </c>
      <c r="B199" s="3">
        <v>45689</v>
      </c>
      <c r="C199" t="s">
        <v>20</v>
      </c>
      <c r="D199" t="s">
        <v>16</v>
      </c>
      <c r="E199">
        <v>54002.83</v>
      </c>
      <c r="F199">
        <v>4366</v>
      </c>
      <c r="G199">
        <v>2.7E-2</v>
      </c>
      <c r="H199">
        <v>15</v>
      </c>
      <c r="I199">
        <v>90.6</v>
      </c>
      <c r="J199">
        <v>12.82</v>
      </c>
      <c r="K199">
        <v>0</v>
      </c>
      <c r="L199">
        <v>4.5999999999999996</v>
      </c>
      <c r="M199">
        <v>574066.61</v>
      </c>
      <c r="N199">
        <v>124674.67</v>
      </c>
      <c r="O199">
        <f t="shared" si="18"/>
        <v>1</v>
      </c>
      <c r="P199">
        <f t="shared" si="19"/>
        <v>0</v>
      </c>
      <c r="Q199">
        <f t="shared" si="20"/>
        <v>0</v>
      </c>
      <c r="R199">
        <f t="shared" si="21"/>
        <v>0</v>
      </c>
      <c r="S199">
        <f t="shared" si="22"/>
        <v>0</v>
      </c>
      <c r="T199">
        <f t="shared" si="23"/>
        <v>0</v>
      </c>
    </row>
    <row r="200" spans="1:20">
      <c r="A200" t="s">
        <v>71</v>
      </c>
      <c r="B200" s="3">
        <v>45717</v>
      </c>
      <c r="C200" t="s">
        <v>20</v>
      </c>
      <c r="D200" t="s">
        <v>16</v>
      </c>
      <c r="E200">
        <v>54479.33</v>
      </c>
      <c r="F200">
        <v>5012</v>
      </c>
      <c r="G200">
        <v>0.28399999999999997</v>
      </c>
      <c r="H200">
        <v>13</v>
      </c>
      <c r="I200">
        <v>86</v>
      </c>
      <c r="J200">
        <v>2.2400000000000002</v>
      </c>
      <c r="K200">
        <v>1</v>
      </c>
      <c r="L200">
        <v>4.3</v>
      </c>
      <c r="M200">
        <v>578949.84</v>
      </c>
      <c r="N200">
        <v>80253.649999999994</v>
      </c>
      <c r="O200">
        <f t="shared" si="18"/>
        <v>1</v>
      </c>
      <c r="P200">
        <f t="shared" si="19"/>
        <v>0</v>
      </c>
      <c r="Q200">
        <f t="shared" si="20"/>
        <v>0</v>
      </c>
      <c r="R200">
        <f t="shared" si="21"/>
        <v>0</v>
      </c>
      <c r="S200">
        <f t="shared" si="22"/>
        <v>0</v>
      </c>
      <c r="T200">
        <f t="shared" si="23"/>
        <v>0</v>
      </c>
    </row>
    <row r="201" spans="1:20">
      <c r="A201" t="s">
        <v>71</v>
      </c>
      <c r="B201" s="3">
        <v>45748</v>
      </c>
      <c r="C201" t="s">
        <v>20</v>
      </c>
      <c r="D201" t="s">
        <v>16</v>
      </c>
      <c r="E201">
        <v>61391.8</v>
      </c>
      <c r="F201">
        <v>5575</v>
      </c>
      <c r="G201">
        <v>0.189</v>
      </c>
      <c r="H201">
        <v>18</v>
      </c>
      <c r="I201">
        <v>90</v>
      </c>
      <c r="J201">
        <v>1.8</v>
      </c>
      <c r="K201">
        <v>0</v>
      </c>
      <c r="L201">
        <v>4.8</v>
      </c>
      <c r="M201">
        <v>735786.64</v>
      </c>
      <c r="N201">
        <v>126540.66</v>
      </c>
      <c r="O201">
        <f t="shared" si="18"/>
        <v>1</v>
      </c>
      <c r="P201">
        <f t="shared" si="19"/>
        <v>0</v>
      </c>
      <c r="Q201">
        <f t="shared" si="20"/>
        <v>0</v>
      </c>
      <c r="R201">
        <f t="shared" si="21"/>
        <v>0</v>
      </c>
      <c r="S201">
        <f t="shared" si="22"/>
        <v>0</v>
      </c>
      <c r="T201">
        <f t="shared" si="23"/>
        <v>0</v>
      </c>
    </row>
    <row r="202" spans="1:20">
      <c r="A202" t="s">
        <v>72</v>
      </c>
      <c r="B202" s="3">
        <v>45658</v>
      </c>
      <c r="C202" t="s">
        <v>15</v>
      </c>
      <c r="D202" t="s">
        <v>21</v>
      </c>
      <c r="E202">
        <v>22312.93</v>
      </c>
      <c r="F202">
        <v>5955</v>
      </c>
      <c r="G202">
        <v>0.123</v>
      </c>
      <c r="H202">
        <v>13</v>
      </c>
      <c r="I202">
        <v>84.2</v>
      </c>
      <c r="J202">
        <v>0.41</v>
      </c>
      <c r="K202">
        <v>1</v>
      </c>
      <c r="L202">
        <v>4.5999999999999996</v>
      </c>
      <c r="M202">
        <v>598904.9</v>
      </c>
      <c r="N202">
        <v>72861</v>
      </c>
      <c r="O202">
        <f t="shared" si="18"/>
        <v>0</v>
      </c>
      <c r="P202">
        <f t="shared" si="19"/>
        <v>0</v>
      </c>
      <c r="Q202">
        <f t="shared" si="20"/>
        <v>1</v>
      </c>
      <c r="R202">
        <f t="shared" si="21"/>
        <v>1</v>
      </c>
      <c r="S202">
        <f t="shared" si="22"/>
        <v>0</v>
      </c>
      <c r="T202">
        <f t="shared" si="23"/>
        <v>0</v>
      </c>
    </row>
    <row r="203" spans="1:20">
      <c r="A203" t="s">
        <v>72</v>
      </c>
      <c r="B203" s="3">
        <v>45689</v>
      </c>
      <c r="C203" t="s">
        <v>15</v>
      </c>
      <c r="D203" t="s">
        <v>21</v>
      </c>
      <c r="E203">
        <v>78111.97</v>
      </c>
      <c r="F203">
        <v>6389</v>
      </c>
      <c r="G203">
        <v>0.15</v>
      </c>
      <c r="H203">
        <v>13</v>
      </c>
      <c r="I203">
        <v>83.9</v>
      </c>
      <c r="J203">
        <v>3.05</v>
      </c>
      <c r="K203">
        <v>0</v>
      </c>
      <c r="L203">
        <v>4.8</v>
      </c>
      <c r="M203">
        <v>787715.51</v>
      </c>
      <c r="N203">
        <v>128969.62</v>
      </c>
      <c r="O203">
        <f t="shared" si="18"/>
        <v>0</v>
      </c>
      <c r="P203">
        <f t="shared" si="19"/>
        <v>0</v>
      </c>
      <c r="Q203">
        <f t="shared" si="20"/>
        <v>1</v>
      </c>
      <c r="R203">
        <f t="shared" si="21"/>
        <v>1</v>
      </c>
      <c r="S203">
        <f t="shared" si="22"/>
        <v>0</v>
      </c>
      <c r="T203">
        <f t="shared" si="23"/>
        <v>0</v>
      </c>
    </row>
    <row r="204" spans="1:20">
      <c r="A204" t="s">
        <v>72</v>
      </c>
      <c r="B204" s="3">
        <v>45717</v>
      </c>
      <c r="C204" t="s">
        <v>15</v>
      </c>
      <c r="D204" t="s">
        <v>21</v>
      </c>
      <c r="E204">
        <v>35203.230000000003</v>
      </c>
      <c r="F204">
        <v>6896</v>
      </c>
      <c r="G204">
        <v>3.2000000000000001E-2</v>
      </c>
      <c r="H204">
        <v>14</v>
      </c>
      <c r="I204">
        <v>80.8</v>
      </c>
      <c r="J204">
        <v>8.44</v>
      </c>
      <c r="K204">
        <v>1</v>
      </c>
      <c r="L204">
        <v>5</v>
      </c>
      <c r="M204">
        <v>607084.92000000004</v>
      </c>
      <c r="N204">
        <v>98558.49</v>
      </c>
      <c r="O204">
        <f t="shared" si="18"/>
        <v>0</v>
      </c>
      <c r="P204">
        <f t="shared" si="19"/>
        <v>0</v>
      </c>
      <c r="Q204">
        <f t="shared" si="20"/>
        <v>1</v>
      </c>
      <c r="R204">
        <f t="shared" si="21"/>
        <v>1</v>
      </c>
      <c r="S204">
        <f t="shared" si="22"/>
        <v>0</v>
      </c>
      <c r="T204">
        <f t="shared" si="23"/>
        <v>0</v>
      </c>
    </row>
    <row r="205" spans="1:20">
      <c r="A205" t="s">
        <v>72</v>
      </c>
      <c r="B205" s="3">
        <v>45748</v>
      </c>
      <c r="C205" t="s">
        <v>15</v>
      </c>
      <c r="D205" t="s">
        <v>21</v>
      </c>
      <c r="E205">
        <v>64104.28</v>
      </c>
      <c r="F205">
        <v>6015</v>
      </c>
      <c r="G205">
        <v>0.127</v>
      </c>
      <c r="H205">
        <v>15</v>
      </c>
      <c r="I205">
        <v>88.7</v>
      </c>
      <c r="J205">
        <v>0.78</v>
      </c>
      <c r="K205">
        <v>0</v>
      </c>
      <c r="L205">
        <v>4</v>
      </c>
      <c r="M205">
        <v>650795.49</v>
      </c>
      <c r="N205">
        <v>103035.89</v>
      </c>
      <c r="O205">
        <f t="shared" si="18"/>
        <v>0</v>
      </c>
      <c r="P205">
        <f t="shared" si="19"/>
        <v>0</v>
      </c>
      <c r="Q205">
        <f t="shared" si="20"/>
        <v>1</v>
      </c>
      <c r="R205">
        <f t="shared" si="21"/>
        <v>1</v>
      </c>
      <c r="S205">
        <f t="shared" si="22"/>
        <v>0</v>
      </c>
      <c r="T205">
        <f t="shared" si="23"/>
        <v>0</v>
      </c>
    </row>
    <row r="206" spans="1:20">
      <c r="A206" t="s">
        <v>73</v>
      </c>
      <c r="B206" s="3">
        <v>45658</v>
      </c>
      <c r="C206" t="s">
        <v>15</v>
      </c>
      <c r="D206" t="s">
        <v>28</v>
      </c>
      <c r="E206">
        <v>92090.14</v>
      </c>
      <c r="F206">
        <v>9476</v>
      </c>
      <c r="G206">
        <v>7.0000000000000007E-2</v>
      </c>
      <c r="H206">
        <v>24</v>
      </c>
      <c r="I206">
        <v>94.3</v>
      </c>
      <c r="J206">
        <v>0.87</v>
      </c>
      <c r="K206">
        <v>0</v>
      </c>
      <c r="L206">
        <v>3.7</v>
      </c>
      <c r="M206">
        <v>825060.52</v>
      </c>
      <c r="N206">
        <v>143613.15</v>
      </c>
      <c r="O206">
        <f t="shared" si="18"/>
        <v>0</v>
      </c>
      <c r="P206">
        <f t="shared" si="19"/>
        <v>0</v>
      </c>
      <c r="Q206">
        <f t="shared" si="20"/>
        <v>1</v>
      </c>
      <c r="R206">
        <f t="shared" si="21"/>
        <v>0</v>
      </c>
      <c r="S206">
        <f t="shared" si="22"/>
        <v>0</v>
      </c>
      <c r="T206">
        <f t="shared" si="23"/>
        <v>1</v>
      </c>
    </row>
    <row r="207" spans="1:20">
      <c r="A207" t="s">
        <v>73</v>
      </c>
      <c r="B207" s="3">
        <v>45689</v>
      </c>
      <c r="C207" t="s">
        <v>15</v>
      </c>
      <c r="D207" t="s">
        <v>28</v>
      </c>
      <c r="E207">
        <v>54300.87</v>
      </c>
      <c r="F207">
        <v>7875</v>
      </c>
      <c r="G207">
        <v>0.107</v>
      </c>
      <c r="H207">
        <v>19</v>
      </c>
      <c r="I207">
        <v>94.1</v>
      </c>
      <c r="J207">
        <v>0.95</v>
      </c>
      <c r="K207">
        <v>0</v>
      </c>
      <c r="L207">
        <v>3.7</v>
      </c>
      <c r="M207">
        <v>795464.47</v>
      </c>
      <c r="N207">
        <v>161150.51999999999</v>
      </c>
      <c r="O207">
        <f t="shared" si="18"/>
        <v>0</v>
      </c>
      <c r="P207">
        <f t="shared" si="19"/>
        <v>0</v>
      </c>
      <c r="Q207">
        <f t="shared" si="20"/>
        <v>1</v>
      </c>
      <c r="R207">
        <f t="shared" si="21"/>
        <v>0</v>
      </c>
      <c r="S207">
        <f t="shared" si="22"/>
        <v>0</v>
      </c>
      <c r="T207">
        <f t="shared" si="23"/>
        <v>1</v>
      </c>
    </row>
    <row r="208" spans="1:20">
      <c r="A208" t="s">
        <v>73</v>
      </c>
      <c r="B208" s="3">
        <v>45717</v>
      </c>
      <c r="C208" t="s">
        <v>15</v>
      </c>
      <c r="D208" t="s">
        <v>28</v>
      </c>
      <c r="E208">
        <v>37983.35</v>
      </c>
      <c r="F208">
        <v>9283</v>
      </c>
      <c r="G208">
        <v>0.14899999999999999</v>
      </c>
      <c r="H208">
        <v>19</v>
      </c>
      <c r="I208">
        <v>83.2</v>
      </c>
      <c r="J208">
        <v>3.82</v>
      </c>
      <c r="K208">
        <v>0</v>
      </c>
      <c r="L208">
        <v>3.7</v>
      </c>
      <c r="M208">
        <v>671868.59</v>
      </c>
      <c r="N208">
        <v>71003.28</v>
      </c>
      <c r="O208">
        <f t="shared" si="18"/>
        <v>0</v>
      </c>
      <c r="P208">
        <f t="shared" si="19"/>
        <v>0</v>
      </c>
      <c r="Q208">
        <f t="shared" si="20"/>
        <v>1</v>
      </c>
      <c r="R208">
        <f t="shared" si="21"/>
        <v>0</v>
      </c>
      <c r="S208">
        <f t="shared" si="22"/>
        <v>0</v>
      </c>
      <c r="T208">
        <f t="shared" si="23"/>
        <v>1</v>
      </c>
    </row>
    <row r="209" spans="1:20">
      <c r="A209" t="s">
        <v>73</v>
      </c>
      <c r="B209" s="3">
        <v>45748</v>
      </c>
      <c r="C209" t="s">
        <v>15</v>
      </c>
      <c r="D209" t="s">
        <v>28</v>
      </c>
      <c r="E209">
        <v>56413.83</v>
      </c>
      <c r="F209">
        <v>8303</v>
      </c>
      <c r="G209">
        <v>0.11600000000000001</v>
      </c>
      <c r="H209">
        <v>18</v>
      </c>
      <c r="I209">
        <v>93.6</v>
      </c>
      <c r="J209">
        <v>2.7</v>
      </c>
      <c r="K209">
        <v>0</v>
      </c>
      <c r="L209">
        <v>3.7</v>
      </c>
      <c r="M209">
        <v>675917.63</v>
      </c>
      <c r="N209">
        <v>112564.75</v>
      </c>
      <c r="O209">
        <f t="shared" si="18"/>
        <v>0</v>
      </c>
      <c r="P209">
        <f t="shared" si="19"/>
        <v>0</v>
      </c>
      <c r="Q209">
        <f t="shared" si="20"/>
        <v>1</v>
      </c>
      <c r="R209">
        <f t="shared" si="21"/>
        <v>0</v>
      </c>
      <c r="S209">
        <f t="shared" si="22"/>
        <v>0</v>
      </c>
      <c r="T209">
        <f t="shared" si="23"/>
        <v>1</v>
      </c>
    </row>
    <row r="210" spans="1:20">
      <c r="A210" t="s">
        <v>74</v>
      </c>
      <c r="B210" s="3">
        <v>45658</v>
      </c>
      <c r="C210" t="s">
        <v>15</v>
      </c>
      <c r="D210" t="s">
        <v>18</v>
      </c>
      <c r="E210">
        <v>63457.19</v>
      </c>
      <c r="F210">
        <v>10125</v>
      </c>
      <c r="G210">
        <v>9.7000000000000003E-2</v>
      </c>
      <c r="H210">
        <v>24</v>
      </c>
      <c r="I210">
        <v>87</v>
      </c>
      <c r="J210">
        <v>3.84</v>
      </c>
      <c r="K210">
        <v>1</v>
      </c>
      <c r="L210">
        <v>3.7</v>
      </c>
      <c r="M210">
        <v>810446.53</v>
      </c>
      <c r="N210">
        <v>200575.34</v>
      </c>
      <c r="O210">
        <f t="shared" si="18"/>
        <v>0</v>
      </c>
      <c r="P210">
        <f t="shared" si="19"/>
        <v>0</v>
      </c>
      <c r="Q210">
        <f t="shared" si="20"/>
        <v>1</v>
      </c>
      <c r="R210">
        <f t="shared" si="21"/>
        <v>0</v>
      </c>
      <c r="S210">
        <f t="shared" si="22"/>
        <v>1</v>
      </c>
      <c r="T210">
        <f t="shared" si="23"/>
        <v>0</v>
      </c>
    </row>
    <row r="211" spans="1:20">
      <c r="A211" t="s">
        <v>74</v>
      </c>
      <c r="B211" s="3">
        <v>45689</v>
      </c>
      <c r="C211" t="s">
        <v>15</v>
      </c>
      <c r="D211" t="s">
        <v>18</v>
      </c>
      <c r="E211">
        <v>62949.7</v>
      </c>
      <c r="F211">
        <v>9458</v>
      </c>
      <c r="G211">
        <v>0.17100000000000001</v>
      </c>
      <c r="H211">
        <v>19</v>
      </c>
      <c r="I211">
        <v>84.9</v>
      </c>
      <c r="J211">
        <v>5.09</v>
      </c>
      <c r="K211">
        <v>0</v>
      </c>
      <c r="L211">
        <v>3.3</v>
      </c>
      <c r="M211">
        <v>691288.19</v>
      </c>
      <c r="N211">
        <v>159074.14000000001</v>
      </c>
      <c r="O211">
        <f t="shared" si="18"/>
        <v>0</v>
      </c>
      <c r="P211">
        <f t="shared" si="19"/>
        <v>0</v>
      </c>
      <c r="Q211">
        <f t="shared" si="20"/>
        <v>1</v>
      </c>
      <c r="R211">
        <f t="shared" si="21"/>
        <v>0</v>
      </c>
      <c r="S211">
        <f t="shared" si="22"/>
        <v>1</v>
      </c>
      <c r="T211">
        <f t="shared" si="23"/>
        <v>0</v>
      </c>
    </row>
    <row r="212" spans="1:20">
      <c r="A212" t="s">
        <v>74</v>
      </c>
      <c r="B212" s="3">
        <v>45717</v>
      </c>
      <c r="C212" t="s">
        <v>15</v>
      </c>
      <c r="D212" t="s">
        <v>18</v>
      </c>
      <c r="E212">
        <v>107970.19</v>
      </c>
      <c r="F212">
        <v>12870</v>
      </c>
      <c r="G212">
        <v>2.9000000000000001E-2</v>
      </c>
      <c r="H212">
        <v>31</v>
      </c>
      <c r="I212">
        <v>91.7</v>
      </c>
      <c r="J212">
        <v>3.82</v>
      </c>
      <c r="K212">
        <v>1</v>
      </c>
      <c r="L212">
        <v>3.7</v>
      </c>
      <c r="M212">
        <v>946833.54</v>
      </c>
      <c r="N212">
        <v>184540.31</v>
      </c>
      <c r="O212">
        <f t="shared" si="18"/>
        <v>0</v>
      </c>
      <c r="P212">
        <f t="shared" si="19"/>
        <v>0</v>
      </c>
      <c r="Q212">
        <f t="shared" si="20"/>
        <v>1</v>
      </c>
      <c r="R212">
        <f t="shared" si="21"/>
        <v>0</v>
      </c>
      <c r="S212">
        <f t="shared" si="22"/>
        <v>1</v>
      </c>
      <c r="T212">
        <f t="shared" si="23"/>
        <v>0</v>
      </c>
    </row>
    <row r="213" spans="1:20">
      <c r="A213" t="s">
        <v>74</v>
      </c>
      <c r="B213" s="3">
        <v>45748</v>
      </c>
      <c r="C213" t="s">
        <v>15</v>
      </c>
      <c r="D213" t="s">
        <v>18</v>
      </c>
      <c r="E213">
        <v>49405.75</v>
      </c>
      <c r="F213">
        <v>9752</v>
      </c>
      <c r="G213">
        <v>9.2999999999999999E-2</v>
      </c>
      <c r="H213">
        <v>21</v>
      </c>
      <c r="I213">
        <v>87</v>
      </c>
      <c r="J213">
        <v>12.28</v>
      </c>
      <c r="K213">
        <v>0</v>
      </c>
      <c r="L213">
        <v>4.0999999999999996</v>
      </c>
      <c r="M213">
        <v>761963.23</v>
      </c>
      <c r="N213">
        <v>150113.60999999999</v>
      </c>
      <c r="O213">
        <f t="shared" si="18"/>
        <v>0</v>
      </c>
      <c r="P213">
        <f t="shared" si="19"/>
        <v>0</v>
      </c>
      <c r="Q213">
        <f t="shared" si="20"/>
        <v>1</v>
      </c>
      <c r="R213">
        <f t="shared" si="21"/>
        <v>0</v>
      </c>
      <c r="S213">
        <f t="shared" si="22"/>
        <v>1</v>
      </c>
      <c r="T213">
        <f t="shared" si="23"/>
        <v>0</v>
      </c>
    </row>
    <row r="214" spans="1:20">
      <c r="A214" t="s">
        <v>75</v>
      </c>
      <c r="B214" s="3">
        <v>45658</v>
      </c>
      <c r="C214" t="s">
        <v>27</v>
      </c>
      <c r="D214" t="s">
        <v>16</v>
      </c>
      <c r="E214">
        <v>50887.46</v>
      </c>
      <c r="F214">
        <v>9505</v>
      </c>
      <c r="G214">
        <v>9.0999999999999998E-2</v>
      </c>
      <c r="H214">
        <v>25</v>
      </c>
      <c r="I214">
        <v>89.7</v>
      </c>
      <c r="J214">
        <v>2.8</v>
      </c>
      <c r="K214">
        <v>0</v>
      </c>
      <c r="L214">
        <v>4.3</v>
      </c>
      <c r="M214">
        <v>812152.6</v>
      </c>
      <c r="N214">
        <v>138419.43</v>
      </c>
      <c r="O214">
        <f t="shared" si="18"/>
        <v>0</v>
      </c>
      <c r="P214">
        <f t="shared" si="19"/>
        <v>0</v>
      </c>
      <c r="Q214">
        <f t="shared" si="20"/>
        <v>0</v>
      </c>
      <c r="R214">
        <f t="shared" si="21"/>
        <v>0</v>
      </c>
      <c r="S214">
        <f t="shared" si="22"/>
        <v>0</v>
      </c>
      <c r="T214">
        <f t="shared" si="23"/>
        <v>0</v>
      </c>
    </row>
    <row r="215" spans="1:20">
      <c r="A215" t="s">
        <v>75</v>
      </c>
      <c r="B215" s="3">
        <v>45689</v>
      </c>
      <c r="C215" t="s">
        <v>27</v>
      </c>
      <c r="D215" t="s">
        <v>16</v>
      </c>
      <c r="E215">
        <v>41819.449999999997</v>
      </c>
      <c r="F215">
        <v>9412</v>
      </c>
      <c r="G215">
        <v>0.15</v>
      </c>
      <c r="H215">
        <v>22</v>
      </c>
      <c r="I215">
        <v>91</v>
      </c>
      <c r="J215">
        <v>3.67</v>
      </c>
      <c r="K215">
        <v>0</v>
      </c>
      <c r="L215">
        <v>4.2</v>
      </c>
      <c r="M215">
        <v>804975.5</v>
      </c>
      <c r="N215">
        <v>140054.5</v>
      </c>
      <c r="O215">
        <f t="shared" si="18"/>
        <v>0</v>
      </c>
      <c r="P215">
        <f t="shared" si="19"/>
        <v>0</v>
      </c>
      <c r="Q215">
        <f t="shared" si="20"/>
        <v>0</v>
      </c>
      <c r="R215">
        <f t="shared" si="21"/>
        <v>0</v>
      </c>
      <c r="S215">
        <f t="shared" si="22"/>
        <v>0</v>
      </c>
      <c r="T215">
        <f t="shared" si="23"/>
        <v>0</v>
      </c>
    </row>
    <row r="216" spans="1:20">
      <c r="A216" t="s">
        <v>75</v>
      </c>
      <c r="B216" s="3">
        <v>45717</v>
      </c>
      <c r="C216" t="s">
        <v>27</v>
      </c>
      <c r="D216" t="s">
        <v>16</v>
      </c>
      <c r="E216">
        <v>35296.54</v>
      </c>
      <c r="F216">
        <v>9644</v>
      </c>
      <c r="G216">
        <v>0</v>
      </c>
      <c r="H216">
        <v>22</v>
      </c>
      <c r="I216">
        <v>88</v>
      </c>
      <c r="J216">
        <v>2.81</v>
      </c>
      <c r="K216">
        <v>0</v>
      </c>
      <c r="L216">
        <v>4.7</v>
      </c>
      <c r="M216">
        <v>752321.72</v>
      </c>
      <c r="N216">
        <v>137788.51</v>
      </c>
      <c r="O216">
        <f t="shared" si="18"/>
        <v>0</v>
      </c>
      <c r="P216">
        <f t="shared" si="19"/>
        <v>0</v>
      </c>
      <c r="Q216">
        <f t="shared" si="20"/>
        <v>0</v>
      </c>
      <c r="R216">
        <f t="shared" si="21"/>
        <v>0</v>
      </c>
      <c r="S216">
        <f t="shared" si="22"/>
        <v>0</v>
      </c>
      <c r="T216">
        <f t="shared" si="23"/>
        <v>0</v>
      </c>
    </row>
    <row r="217" spans="1:20">
      <c r="A217" t="s">
        <v>75</v>
      </c>
      <c r="B217" s="3">
        <v>45748</v>
      </c>
      <c r="C217" t="s">
        <v>27</v>
      </c>
      <c r="D217" t="s">
        <v>16</v>
      </c>
      <c r="E217">
        <v>47391.09</v>
      </c>
      <c r="F217">
        <v>11224</v>
      </c>
      <c r="G217">
        <v>0.14699999999999999</v>
      </c>
      <c r="H217">
        <v>25</v>
      </c>
      <c r="I217">
        <v>88.4</v>
      </c>
      <c r="J217">
        <v>2.44</v>
      </c>
      <c r="K217">
        <v>0</v>
      </c>
      <c r="L217">
        <v>4.9000000000000004</v>
      </c>
      <c r="M217">
        <v>836908.24</v>
      </c>
      <c r="N217">
        <v>141090.26</v>
      </c>
      <c r="O217">
        <f t="shared" si="18"/>
        <v>0</v>
      </c>
      <c r="P217">
        <f t="shared" si="19"/>
        <v>0</v>
      </c>
      <c r="Q217">
        <f t="shared" si="20"/>
        <v>0</v>
      </c>
      <c r="R217">
        <f t="shared" si="21"/>
        <v>0</v>
      </c>
      <c r="S217">
        <f t="shared" si="22"/>
        <v>0</v>
      </c>
      <c r="T217">
        <f t="shared" si="23"/>
        <v>0</v>
      </c>
    </row>
    <row r="218" spans="1:20">
      <c r="A218" t="s">
        <v>76</v>
      </c>
      <c r="B218" s="3">
        <v>45658</v>
      </c>
      <c r="C218" t="s">
        <v>20</v>
      </c>
      <c r="D218" t="s">
        <v>21</v>
      </c>
      <c r="E218">
        <v>69180.539999999994</v>
      </c>
      <c r="F218">
        <v>5394</v>
      </c>
      <c r="G218">
        <v>0.126</v>
      </c>
      <c r="H218">
        <v>12</v>
      </c>
      <c r="I218">
        <v>82.9</v>
      </c>
      <c r="J218">
        <v>3.27</v>
      </c>
      <c r="K218">
        <v>0</v>
      </c>
      <c r="L218">
        <v>3.3</v>
      </c>
      <c r="M218">
        <v>674289.1</v>
      </c>
      <c r="N218">
        <v>117773.79</v>
      </c>
      <c r="O218">
        <f t="shared" si="18"/>
        <v>1</v>
      </c>
      <c r="P218">
        <f t="shared" si="19"/>
        <v>0</v>
      </c>
      <c r="Q218">
        <f t="shared" si="20"/>
        <v>0</v>
      </c>
      <c r="R218">
        <f t="shared" si="21"/>
        <v>1</v>
      </c>
      <c r="S218">
        <f t="shared" si="22"/>
        <v>0</v>
      </c>
      <c r="T218">
        <f t="shared" si="23"/>
        <v>0</v>
      </c>
    </row>
    <row r="219" spans="1:20">
      <c r="A219" t="s">
        <v>76</v>
      </c>
      <c r="B219" s="3">
        <v>45689</v>
      </c>
      <c r="C219" t="s">
        <v>20</v>
      </c>
      <c r="D219" t="s">
        <v>21</v>
      </c>
      <c r="E219">
        <v>33987.33</v>
      </c>
      <c r="F219">
        <v>5014</v>
      </c>
      <c r="G219">
        <v>0.246</v>
      </c>
      <c r="H219">
        <v>17</v>
      </c>
      <c r="I219">
        <v>94.3</v>
      </c>
      <c r="J219">
        <v>10.34</v>
      </c>
      <c r="K219">
        <v>0</v>
      </c>
      <c r="L219">
        <v>3.9</v>
      </c>
      <c r="M219">
        <v>622892.42000000004</v>
      </c>
      <c r="N219">
        <v>101032.52</v>
      </c>
      <c r="O219">
        <f t="shared" si="18"/>
        <v>1</v>
      </c>
      <c r="P219">
        <f t="shared" si="19"/>
        <v>0</v>
      </c>
      <c r="Q219">
        <f t="shared" si="20"/>
        <v>0</v>
      </c>
      <c r="R219">
        <f t="shared" si="21"/>
        <v>1</v>
      </c>
      <c r="S219">
        <f t="shared" si="22"/>
        <v>0</v>
      </c>
      <c r="T219">
        <f t="shared" si="23"/>
        <v>0</v>
      </c>
    </row>
    <row r="220" spans="1:20">
      <c r="A220" t="s">
        <v>76</v>
      </c>
      <c r="B220" s="3">
        <v>45717</v>
      </c>
      <c r="C220" t="s">
        <v>20</v>
      </c>
      <c r="D220" t="s">
        <v>21</v>
      </c>
      <c r="E220">
        <v>58785.33</v>
      </c>
      <c r="F220">
        <v>4467</v>
      </c>
      <c r="G220">
        <v>0.22900000000000001</v>
      </c>
      <c r="H220">
        <v>14</v>
      </c>
      <c r="I220">
        <v>90.7</v>
      </c>
      <c r="J220">
        <v>1.92</v>
      </c>
      <c r="K220">
        <v>0</v>
      </c>
      <c r="L220">
        <v>3.7</v>
      </c>
      <c r="M220">
        <v>673348.56</v>
      </c>
      <c r="N220">
        <v>69464.59</v>
      </c>
      <c r="O220">
        <f t="shared" si="18"/>
        <v>1</v>
      </c>
      <c r="P220">
        <f t="shared" si="19"/>
        <v>0</v>
      </c>
      <c r="Q220">
        <f t="shared" si="20"/>
        <v>0</v>
      </c>
      <c r="R220">
        <f t="shared" si="21"/>
        <v>1</v>
      </c>
      <c r="S220">
        <f t="shared" si="22"/>
        <v>0</v>
      </c>
      <c r="T220">
        <f t="shared" si="23"/>
        <v>0</v>
      </c>
    </row>
    <row r="221" spans="1:20">
      <c r="A221" t="s">
        <v>76</v>
      </c>
      <c r="B221" s="3">
        <v>45748</v>
      </c>
      <c r="C221" t="s">
        <v>20</v>
      </c>
      <c r="D221" t="s">
        <v>21</v>
      </c>
      <c r="E221">
        <v>16451.849999999999</v>
      </c>
      <c r="F221">
        <v>4678</v>
      </c>
      <c r="G221">
        <v>0.13300000000000001</v>
      </c>
      <c r="H221">
        <v>11</v>
      </c>
      <c r="I221">
        <v>95.9</v>
      </c>
      <c r="J221">
        <v>3.1</v>
      </c>
      <c r="K221">
        <v>0</v>
      </c>
      <c r="L221">
        <v>3.9</v>
      </c>
      <c r="M221">
        <v>606278.30000000005</v>
      </c>
      <c r="N221">
        <v>102213.26</v>
      </c>
      <c r="O221">
        <f t="shared" si="18"/>
        <v>1</v>
      </c>
      <c r="P221">
        <f t="shared" si="19"/>
        <v>0</v>
      </c>
      <c r="Q221">
        <f t="shared" si="20"/>
        <v>0</v>
      </c>
      <c r="R221">
        <f t="shared" si="21"/>
        <v>1</v>
      </c>
      <c r="S221">
        <f t="shared" si="22"/>
        <v>0</v>
      </c>
      <c r="T221">
        <f t="shared" si="23"/>
        <v>0</v>
      </c>
    </row>
    <row r="222" spans="1:20">
      <c r="A222" t="s">
        <v>77</v>
      </c>
      <c r="B222" s="3">
        <v>45658</v>
      </c>
      <c r="C222" t="s">
        <v>15</v>
      </c>
      <c r="D222" t="s">
        <v>18</v>
      </c>
      <c r="E222">
        <v>53367.73</v>
      </c>
      <c r="F222">
        <v>7291</v>
      </c>
      <c r="G222">
        <v>0.14599999999999999</v>
      </c>
      <c r="H222">
        <v>18</v>
      </c>
      <c r="I222">
        <v>90.6</v>
      </c>
      <c r="J222">
        <v>6.34</v>
      </c>
      <c r="K222">
        <v>1</v>
      </c>
      <c r="L222">
        <v>3.8</v>
      </c>
      <c r="M222">
        <v>712219.81</v>
      </c>
      <c r="N222">
        <v>85906.54</v>
      </c>
      <c r="O222">
        <f t="shared" si="18"/>
        <v>0</v>
      </c>
      <c r="P222">
        <f t="shared" si="19"/>
        <v>0</v>
      </c>
      <c r="Q222">
        <f t="shared" si="20"/>
        <v>1</v>
      </c>
      <c r="R222">
        <f t="shared" si="21"/>
        <v>0</v>
      </c>
      <c r="S222">
        <f t="shared" si="22"/>
        <v>1</v>
      </c>
      <c r="T222">
        <f t="shared" si="23"/>
        <v>0</v>
      </c>
    </row>
    <row r="223" spans="1:20">
      <c r="A223" t="s">
        <v>77</v>
      </c>
      <c r="B223" s="3">
        <v>45689</v>
      </c>
      <c r="C223" t="s">
        <v>15</v>
      </c>
      <c r="D223" t="s">
        <v>18</v>
      </c>
      <c r="E223">
        <v>27194.639999999999</v>
      </c>
      <c r="F223">
        <v>7404</v>
      </c>
      <c r="G223">
        <v>8.7999999999999995E-2</v>
      </c>
      <c r="H223">
        <v>18</v>
      </c>
      <c r="I223">
        <v>90.2</v>
      </c>
      <c r="J223">
        <v>1.2</v>
      </c>
      <c r="K223">
        <v>0</v>
      </c>
      <c r="L223">
        <v>3.4</v>
      </c>
      <c r="M223">
        <v>672670.54</v>
      </c>
      <c r="N223">
        <v>132684.18</v>
      </c>
      <c r="O223">
        <f t="shared" si="18"/>
        <v>0</v>
      </c>
      <c r="P223">
        <f t="shared" si="19"/>
        <v>0</v>
      </c>
      <c r="Q223">
        <f t="shared" si="20"/>
        <v>1</v>
      </c>
      <c r="R223">
        <f t="shared" si="21"/>
        <v>0</v>
      </c>
      <c r="S223">
        <f t="shared" si="22"/>
        <v>1</v>
      </c>
      <c r="T223">
        <f t="shared" si="23"/>
        <v>0</v>
      </c>
    </row>
    <row r="224" spans="1:20">
      <c r="A224" t="s">
        <v>77</v>
      </c>
      <c r="B224" s="3">
        <v>45717</v>
      </c>
      <c r="C224" t="s">
        <v>15</v>
      </c>
      <c r="D224" t="s">
        <v>18</v>
      </c>
      <c r="E224">
        <v>66962.740000000005</v>
      </c>
      <c r="F224">
        <v>7880</v>
      </c>
      <c r="G224">
        <v>0.11600000000000001</v>
      </c>
      <c r="H224">
        <v>19</v>
      </c>
      <c r="I224">
        <v>90.4</v>
      </c>
      <c r="J224">
        <v>4.5</v>
      </c>
      <c r="K224">
        <v>0</v>
      </c>
      <c r="L224">
        <v>3.3</v>
      </c>
      <c r="M224">
        <v>732667.92</v>
      </c>
      <c r="N224">
        <v>128654.46</v>
      </c>
      <c r="O224">
        <f t="shared" si="18"/>
        <v>0</v>
      </c>
      <c r="P224">
        <f t="shared" si="19"/>
        <v>0</v>
      </c>
      <c r="Q224">
        <f t="shared" si="20"/>
        <v>1</v>
      </c>
      <c r="R224">
        <f t="shared" si="21"/>
        <v>0</v>
      </c>
      <c r="S224">
        <f t="shared" si="22"/>
        <v>1</v>
      </c>
      <c r="T224">
        <f t="shared" si="23"/>
        <v>0</v>
      </c>
    </row>
    <row r="225" spans="1:20">
      <c r="A225" t="s">
        <v>77</v>
      </c>
      <c r="B225" s="3">
        <v>45748</v>
      </c>
      <c r="C225" t="s">
        <v>15</v>
      </c>
      <c r="D225" t="s">
        <v>18</v>
      </c>
      <c r="E225">
        <v>73540.990000000005</v>
      </c>
      <c r="F225">
        <v>8773</v>
      </c>
      <c r="G225">
        <v>3.5000000000000003E-2</v>
      </c>
      <c r="H225">
        <v>21</v>
      </c>
      <c r="I225">
        <v>84.4</v>
      </c>
      <c r="J225">
        <v>6.68</v>
      </c>
      <c r="K225">
        <v>0</v>
      </c>
      <c r="L225">
        <v>3.6</v>
      </c>
      <c r="M225">
        <v>723531.4</v>
      </c>
      <c r="N225">
        <v>108794.85</v>
      </c>
      <c r="O225">
        <f t="shared" si="18"/>
        <v>0</v>
      </c>
      <c r="P225">
        <f t="shared" si="19"/>
        <v>0</v>
      </c>
      <c r="Q225">
        <f t="shared" si="20"/>
        <v>1</v>
      </c>
      <c r="R225">
        <f t="shared" si="21"/>
        <v>0</v>
      </c>
      <c r="S225">
        <f t="shared" si="22"/>
        <v>1</v>
      </c>
      <c r="T225">
        <f t="shared" si="23"/>
        <v>0</v>
      </c>
    </row>
    <row r="226" spans="1:20">
      <c r="A226" t="s">
        <v>78</v>
      </c>
      <c r="B226" s="3">
        <v>45658</v>
      </c>
      <c r="C226" t="s">
        <v>15</v>
      </c>
      <c r="D226" t="s">
        <v>28</v>
      </c>
      <c r="E226">
        <v>68212.289999999994</v>
      </c>
      <c r="F226">
        <v>4713</v>
      </c>
      <c r="G226">
        <v>0.19800000000000001</v>
      </c>
      <c r="H226">
        <v>15</v>
      </c>
      <c r="I226">
        <v>82.6</v>
      </c>
      <c r="J226">
        <v>4.07</v>
      </c>
      <c r="K226">
        <v>1</v>
      </c>
      <c r="L226">
        <v>3</v>
      </c>
      <c r="M226">
        <v>641564.6</v>
      </c>
      <c r="N226">
        <v>90468.96</v>
      </c>
      <c r="O226">
        <f t="shared" si="18"/>
        <v>0</v>
      </c>
      <c r="P226">
        <f t="shared" si="19"/>
        <v>0</v>
      </c>
      <c r="Q226">
        <f t="shared" si="20"/>
        <v>1</v>
      </c>
      <c r="R226">
        <f t="shared" si="21"/>
        <v>0</v>
      </c>
      <c r="S226">
        <f t="shared" si="22"/>
        <v>0</v>
      </c>
      <c r="T226">
        <f t="shared" si="23"/>
        <v>1</v>
      </c>
    </row>
    <row r="227" spans="1:20">
      <c r="A227" t="s">
        <v>78</v>
      </c>
      <c r="B227" s="3">
        <v>45689</v>
      </c>
      <c r="C227" t="s">
        <v>15</v>
      </c>
      <c r="D227" t="s">
        <v>28</v>
      </c>
      <c r="E227">
        <v>57225.98</v>
      </c>
      <c r="F227">
        <v>2842</v>
      </c>
      <c r="G227">
        <v>0.112</v>
      </c>
      <c r="H227">
        <v>10</v>
      </c>
      <c r="I227">
        <v>79.5</v>
      </c>
      <c r="J227">
        <v>5.45</v>
      </c>
      <c r="K227">
        <v>0</v>
      </c>
      <c r="L227">
        <v>3.4</v>
      </c>
      <c r="M227">
        <v>536545.49</v>
      </c>
      <c r="N227">
        <v>97917.45</v>
      </c>
      <c r="O227">
        <f t="shared" si="18"/>
        <v>0</v>
      </c>
      <c r="P227">
        <f t="shared" si="19"/>
        <v>0</v>
      </c>
      <c r="Q227">
        <f t="shared" si="20"/>
        <v>1</v>
      </c>
      <c r="R227">
        <f t="shared" si="21"/>
        <v>0</v>
      </c>
      <c r="S227">
        <f t="shared" si="22"/>
        <v>0</v>
      </c>
      <c r="T227">
        <f t="shared" si="23"/>
        <v>1</v>
      </c>
    </row>
    <row r="228" spans="1:20">
      <c r="A228" t="s">
        <v>78</v>
      </c>
      <c r="B228" s="3">
        <v>45717</v>
      </c>
      <c r="C228" t="s">
        <v>15</v>
      </c>
      <c r="D228" t="s">
        <v>28</v>
      </c>
      <c r="E228">
        <v>42932.02</v>
      </c>
      <c r="F228">
        <v>3872</v>
      </c>
      <c r="G228">
        <v>0.17100000000000001</v>
      </c>
      <c r="H228">
        <v>12</v>
      </c>
      <c r="I228">
        <v>83.2</v>
      </c>
      <c r="J228">
        <v>15.58</v>
      </c>
      <c r="K228">
        <v>0</v>
      </c>
      <c r="L228">
        <v>3.3</v>
      </c>
      <c r="M228">
        <v>527681.56000000006</v>
      </c>
      <c r="N228">
        <v>63153.05</v>
      </c>
      <c r="O228">
        <f t="shared" si="18"/>
        <v>0</v>
      </c>
      <c r="P228">
        <f t="shared" si="19"/>
        <v>0</v>
      </c>
      <c r="Q228">
        <f t="shared" si="20"/>
        <v>1</v>
      </c>
      <c r="R228">
        <f t="shared" si="21"/>
        <v>0</v>
      </c>
      <c r="S228">
        <f t="shared" si="22"/>
        <v>0</v>
      </c>
      <c r="T228">
        <f t="shared" si="23"/>
        <v>1</v>
      </c>
    </row>
    <row r="229" spans="1:20">
      <c r="A229" t="s">
        <v>78</v>
      </c>
      <c r="B229" s="3">
        <v>45748</v>
      </c>
      <c r="C229" t="s">
        <v>15</v>
      </c>
      <c r="D229" t="s">
        <v>28</v>
      </c>
      <c r="E229">
        <v>39341.449999999997</v>
      </c>
      <c r="F229">
        <v>1375</v>
      </c>
      <c r="G229">
        <v>9.2999999999999999E-2</v>
      </c>
      <c r="H229">
        <v>5</v>
      </c>
      <c r="I229">
        <v>95</v>
      </c>
      <c r="J229">
        <v>5.32</v>
      </c>
      <c r="K229">
        <v>0</v>
      </c>
      <c r="L229" s="6">
        <v>3.92</v>
      </c>
      <c r="M229">
        <v>529598.93999999994</v>
      </c>
      <c r="N229">
        <v>84334.33</v>
      </c>
      <c r="O229">
        <f t="shared" si="18"/>
        <v>0</v>
      </c>
      <c r="P229">
        <f t="shared" si="19"/>
        <v>0</v>
      </c>
      <c r="Q229">
        <f t="shared" si="20"/>
        <v>1</v>
      </c>
      <c r="R229">
        <f t="shared" si="21"/>
        <v>0</v>
      </c>
      <c r="S229">
        <f t="shared" si="22"/>
        <v>0</v>
      </c>
      <c r="T229">
        <f t="shared" si="23"/>
        <v>1</v>
      </c>
    </row>
    <row r="230" spans="1:20">
      <c r="A230" t="s">
        <v>79</v>
      </c>
      <c r="B230" s="3">
        <v>45658</v>
      </c>
      <c r="C230" t="s">
        <v>15</v>
      </c>
      <c r="D230" t="s">
        <v>18</v>
      </c>
      <c r="E230">
        <v>37324.230000000003</v>
      </c>
      <c r="F230">
        <v>5957</v>
      </c>
      <c r="G230">
        <v>7.0999999999999994E-2</v>
      </c>
      <c r="H230">
        <v>12</v>
      </c>
      <c r="I230">
        <v>85.9</v>
      </c>
      <c r="J230">
        <v>0.37</v>
      </c>
      <c r="K230">
        <v>0</v>
      </c>
      <c r="L230">
        <v>3.8</v>
      </c>
      <c r="M230">
        <v>570963.31000000006</v>
      </c>
      <c r="N230">
        <v>87342.25</v>
      </c>
      <c r="O230">
        <f t="shared" si="18"/>
        <v>0</v>
      </c>
      <c r="P230">
        <f t="shared" si="19"/>
        <v>0</v>
      </c>
      <c r="Q230">
        <f t="shared" si="20"/>
        <v>1</v>
      </c>
      <c r="R230">
        <f t="shared" si="21"/>
        <v>0</v>
      </c>
      <c r="S230">
        <f t="shared" si="22"/>
        <v>1</v>
      </c>
      <c r="T230">
        <f t="shared" si="23"/>
        <v>0</v>
      </c>
    </row>
    <row r="231" spans="1:20">
      <c r="A231" t="s">
        <v>79</v>
      </c>
      <c r="B231" s="3">
        <v>45689</v>
      </c>
      <c r="C231" t="s">
        <v>15</v>
      </c>
      <c r="D231" t="s">
        <v>18</v>
      </c>
      <c r="E231">
        <v>113736</v>
      </c>
      <c r="F231">
        <v>8961</v>
      </c>
      <c r="G231">
        <v>0.20200000000000001</v>
      </c>
      <c r="H231">
        <v>24</v>
      </c>
      <c r="I231">
        <v>86.2</v>
      </c>
      <c r="J231">
        <v>21.63</v>
      </c>
      <c r="K231">
        <v>0</v>
      </c>
      <c r="L231">
        <v>4</v>
      </c>
      <c r="M231">
        <v>870937.4</v>
      </c>
      <c r="N231">
        <v>175282.74</v>
      </c>
      <c r="O231">
        <f t="shared" si="18"/>
        <v>0</v>
      </c>
      <c r="P231">
        <f t="shared" si="19"/>
        <v>0</v>
      </c>
      <c r="Q231">
        <f t="shared" si="20"/>
        <v>1</v>
      </c>
      <c r="R231">
        <f t="shared" si="21"/>
        <v>0</v>
      </c>
      <c r="S231">
        <f t="shared" si="22"/>
        <v>1</v>
      </c>
      <c r="T231">
        <f t="shared" si="23"/>
        <v>0</v>
      </c>
    </row>
    <row r="232" spans="1:20">
      <c r="A232" t="s">
        <v>79</v>
      </c>
      <c r="B232" s="3">
        <v>45717</v>
      </c>
      <c r="C232" t="s">
        <v>15</v>
      </c>
      <c r="D232" t="s">
        <v>18</v>
      </c>
      <c r="E232">
        <v>33173.949999999997</v>
      </c>
      <c r="F232">
        <v>6545</v>
      </c>
      <c r="G232">
        <v>0.16900000000000001</v>
      </c>
      <c r="H232">
        <v>15</v>
      </c>
      <c r="I232">
        <v>84.4</v>
      </c>
      <c r="J232">
        <v>2.48</v>
      </c>
      <c r="K232">
        <v>0</v>
      </c>
      <c r="L232">
        <v>3.9</v>
      </c>
      <c r="M232">
        <v>596969.27</v>
      </c>
      <c r="N232">
        <v>105669.51</v>
      </c>
      <c r="O232">
        <f t="shared" si="18"/>
        <v>0</v>
      </c>
      <c r="P232">
        <f t="shared" si="19"/>
        <v>0</v>
      </c>
      <c r="Q232">
        <f t="shared" si="20"/>
        <v>1</v>
      </c>
      <c r="R232">
        <f t="shared" si="21"/>
        <v>0</v>
      </c>
      <c r="S232">
        <f t="shared" si="22"/>
        <v>1</v>
      </c>
      <c r="T232">
        <f t="shared" si="23"/>
        <v>0</v>
      </c>
    </row>
    <row r="233" spans="1:20">
      <c r="A233" t="s">
        <v>79</v>
      </c>
      <c r="B233" s="3">
        <v>45748</v>
      </c>
      <c r="C233" t="s">
        <v>15</v>
      </c>
      <c r="D233" t="s">
        <v>18</v>
      </c>
      <c r="E233">
        <v>25818.080000000002</v>
      </c>
      <c r="F233">
        <v>5457</v>
      </c>
      <c r="G233">
        <v>0</v>
      </c>
      <c r="H233">
        <v>11</v>
      </c>
      <c r="I233">
        <v>95.4</v>
      </c>
      <c r="J233" s="6">
        <v>4.5599999999999996</v>
      </c>
      <c r="K233">
        <v>0</v>
      </c>
      <c r="L233">
        <v>3.7</v>
      </c>
      <c r="M233">
        <v>647512.85</v>
      </c>
      <c r="N233">
        <v>153835.57</v>
      </c>
      <c r="O233">
        <f t="shared" si="18"/>
        <v>0</v>
      </c>
      <c r="P233">
        <f t="shared" si="19"/>
        <v>0</v>
      </c>
      <c r="Q233">
        <f t="shared" si="20"/>
        <v>1</v>
      </c>
      <c r="R233">
        <f t="shared" si="21"/>
        <v>0</v>
      </c>
      <c r="S233">
        <f t="shared" si="22"/>
        <v>1</v>
      </c>
      <c r="T233">
        <f t="shared" si="23"/>
        <v>0</v>
      </c>
    </row>
    <row r="234" spans="1:20">
      <c r="A234" t="s">
        <v>80</v>
      </c>
      <c r="B234" s="3">
        <v>45658</v>
      </c>
      <c r="C234" t="s">
        <v>27</v>
      </c>
      <c r="D234" t="s">
        <v>16</v>
      </c>
      <c r="E234">
        <v>47241.919999999998</v>
      </c>
      <c r="F234">
        <v>4264</v>
      </c>
      <c r="G234">
        <v>6.9000000000000006E-2</v>
      </c>
      <c r="H234">
        <v>13</v>
      </c>
      <c r="I234">
        <v>95.3</v>
      </c>
      <c r="J234">
        <v>0.85</v>
      </c>
      <c r="K234">
        <v>0</v>
      </c>
      <c r="L234">
        <v>4.3</v>
      </c>
      <c r="M234">
        <v>658072.14</v>
      </c>
      <c r="N234">
        <v>110595.89</v>
      </c>
      <c r="O234">
        <f t="shared" si="18"/>
        <v>0</v>
      </c>
      <c r="P234">
        <f t="shared" si="19"/>
        <v>0</v>
      </c>
      <c r="Q234">
        <f t="shared" si="20"/>
        <v>0</v>
      </c>
      <c r="R234">
        <f t="shared" si="21"/>
        <v>0</v>
      </c>
      <c r="S234">
        <f t="shared" si="22"/>
        <v>0</v>
      </c>
      <c r="T234">
        <f t="shared" si="23"/>
        <v>0</v>
      </c>
    </row>
    <row r="235" spans="1:20">
      <c r="A235" t="s">
        <v>80</v>
      </c>
      <c r="B235" s="3">
        <v>45689</v>
      </c>
      <c r="C235" t="s">
        <v>27</v>
      </c>
      <c r="D235" t="s">
        <v>16</v>
      </c>
      <c r="E235">
        <v>61650.79</v>
      </c>
      <c r="F235">
        <v>5321</v>
      </c>
      <c r="G235">
        <v>0.126</v>
      </c>
      <c r="H235">
        <v>17</v>
      </c>
      <c r="I235">
        <v>89.2</v>
      </c>
      <c r="J235">
        <v>2.13</v>
      </c>
      <c r="K235">
        <v>0</v>
      </c>
      <c r="L235">
        <v>4</v>
      </c>
      <c r="M235">
        <v>723305.11</v>
      </c>
      <c r="N235">
        <v>128468.7</v>
      </c>
      <c r="O235">
        <f t="shared" si="18"/>
        <v>0</v>
      </c>
      <c r="P235">
        <f t="shared" si="19"/>
        <v>0</v>
      </c>
      <c r="Q235">
        <f t="shared" si="20"/>
        <v>0</v>
      </c>
      <c r="R235">
        <f t="shared" si="21"/>
        <v>0</v>
      </c>
      <c r="S235">
        <f t="shared" si="22"/>
        <v>0</v>
      </c>
      <c r="T235">
        <f t="shared" si="23"/>
        <v>0</v>
      </c>
    </row>
    <row r="236" spans="1:20">
      <c r="A236" t="s">
        <v>80</v>
      </c>
      <c r="B236" s="3">
        <v>45717</v>
      </c>
      <c r="C236" t="s">
        <v>27</v>
      </c>
      <c r="D236" t="s">
        <v>16</v>
      </c>
      <c r="E236">
        <v>62582.71</v>
      </c>
      <c r="F236">
        <v>5479</v>
      </c>
      <c r="G236">
        <v>4.8000000000000001E-2</v>
      </c>
      <c r="H236">
        <v>16</v>
      </c>
      <c r="I236">
        <v>81.2</v>
      </c>
      <c r="J236">
        <v>1.46</v>
      </c>
      <c r="K236">
        <v>0</v>
      </c>
      <c r="L236">
        <v>4.5</v>
      </c>
      <c r="M236">
        <v>640666.53</v>
      </c>
      <c r="N236">
        <v>134919.16</v>
      </c>
      <c r="O236">
        <f t="shared" si="18"/>
        <v>0</v>
      </c>
      <c r="P236">
        <f t="shared" si="19"/>
        <v>0</v>
      </c>
      <c r="Q236">
        <f t="shared" si="20"/>
        <v>0</v>
      </c>
      <c r="R236">
        <f t="shared" si="21"/>
        <v>0</v>
      </c>
      <c r="S236">
        <f t="shared" si="22"/>
        <v>0</v>
      </c>
      <c r="T236">
        <f t="shared" si="23"/>
        <v>0</v>
      </c>
    </row>
    <row r="237" spans="1:20">
      <c r="A237" t="s">
        <v>80</v>
      </c>
      <c r="B237" s="3">
        <v>45748</v>
      </c>
      <c r="C237" t="s">
        <v>27</v>
      </c>
      <c r="D237" t="s">
        <v>16</v>
      </c>
      <c r="E237">
        <v>47944.14</v>
      </c>
      <c r="F237">
        <v>6169</v>
      </c>
      <c r="G237">
        <v>0.11899999999999999</v>
      </c>
      <c r="H237">
        <v>17</v>
      </c>
      <c r="I237">
        <v>92.2</v>
      </c>
      <c r="J237">
        <v>3.02</v>
      </c>
      <c r="K237">
        <v>0</v>
      </c>
      <c r="L237">
        <v>4.0999999999999996</v>
      </c>
      <c r="M237">
        <v>670629.48</v>
      </c>
      <c r="N237">
        <v>100140.8</v>
      </c>
      <c r="O237">
        <f t="shared" si="18"/>
        <v>0</v>
      </c>
      <c r="P237">
        <f t="shared" si="19"/>
        <v>0</v>
      </c>
      <c r="Q237">
        <f t="shared" si="20"/>
        <v>0</v>
      </c>
      <c r="R237">
        <f t="shared" si="21"/>
        <v>0</v>
      </c>
      <c r="S237">
        <f t="shared" si="22"/>
        <v>0</v>
      </c>
      <c r="T237">
        <f t="shared" si="23"/>
        <v>0</v>
      </c>
    </row>
    <row r="238" spans="1:20">
      <c r="A238" t="s">
        <v>81</v>
      </c>
      <c r="B238" s="3">
        <v>45658</v>
      </c>
      <c r="C238" t="s">
        <v>27</v>
      </c>
      <c r="D238" t="s">
        <v>28</v>
      </c>
      <c r="E238">
        <v>46495.4</v>
      </c>
      <c r="F238">
        <v>9908</v>
      </c>
      <c r="G238">
        <v>0.121</v>
      </c>
      <c r="H238">
        <v>22</v>
      </c>
      <c r="I238">
        <v>89.4</v>
      </c>
      <c r="J238">
        <v>3.22</v>
      </c>
      <c r="K238">
        <v>0</v>
      </c>
      <c r="L238">
        <v>3.7</v>
      </c>
      <c r="M238">
        <v>721079.35</v>
      </c>
      <c r="N238">
        <v>115295.05</v>
      </c>
      <c r="O238">
        <f t="shared" si="18"/>
        <v>0</v>
      </c>
      <c r="P238">
        <f t="shared" si="19"/>
        <v>0</v>
      </c>
      <c r="Q238">
        <f t="shared" si="20"/>
        <v>0</v>
      </c>
      <c r="R238">
        <f t="shared" si="21"/>
        <v>0</v>
      </c>
      <c r="S238">
        <f t="shared" si="22"/>
        <v>0</v>
      </c>
      <c r="T238">
        <f t="shared" si="23"/>
        <v>1</v>
      </c>
    </row>
    <row r="239" spans="1:20">
      <c r="A239" t="s">
        <v>81</v>
      </c>
      <c r="B239" s="3">
        <v>45689</v>
      </c>
      <c r="C239" t="s">
        <v>27</v>
      </c>
      <c r="D239" t="s">
        <v>28</v>
      </c>
      <c r="E239">
        <v>72961.95</v>
      </c>
      <c r="F239">
        <v>9996</v>
      </c>
      <c r="G239">
        <v>0.106</v>
      </c>
      <c r="H239">
        <v>22</v>
      </c>
      <c r="I239">
        <v>89.1</v>
      </c>
      <c r="J239">
        <v>15.66</v>
      </c>
      <c r="K239">
        <v>0</v>
      </c>
      <c r="L239">
        <v>3.4</v>
      </c>
      <c r="M239">
        <v>810355.02</v>
      </c>
      <c r="N239">
        <v>131510</v>
      </c>
      <c r="O239">
        <f t="shared" si="18"/>
        <v>0</v>
      </c>
      <c r="P239">
        <f t="shared" si="19"/>
        <v>0</v>
      </c>
      <c r="Q239">
        <f t="shared" si="20"/>
        <v>0</v>
      </c>
      <c r="R239">
        <f t="shared" si="21"/>
        <v>0</v>
      </c>
      <c r="S239">
        <f t="shared" si="22"/>
        <v>0</v>
      </c>
      <c r="T239">
        <f t="shared" si="23"/>
        <v>1</v>
      </c>
    </row>
    <row r="240" spans="1:20">
      <c r="A240" t="s">
        <v>81</v>
      </c>
      <c r="B240" s="3">
        <v>45717</v>
      </c>
      <c r="C240" t="s">
        <v>27</v>
      </c>
      <c r="D240" t="s">
        <v>28</v>
      </c>
      <c r="E240">
        <v>59060.05</v>
      </c>
      <c r="F240">
        <v>9702</v>
      </c>
      <c r="G240">
        <v>0.20100000000000001</v>
      </c>
      <c r="H240">
        <v>23</v>
      </c>
      <c r="I240">
        <v>80.900000000000006</v>
      </c>
      <c r="J240">
        <v>6.96</v>
      </c>
      <c r="K240">
        <v>0</v>
      </c>
      <c r="L240">
        <v>3.2</v>
      </c>
      <c r="M240">
        <v>761919.25</v>
      </c>
      <c r="N240">
        <v>111893.06</v>
      </c>
      <c r="O240">
        <f t="shared" si="18"/>
        <v>0</v>
      </c>
      <c r="P240">
        <f t="shared" si="19"/>
        <v>0</v>
      </c>
      <c r="Q240">
        <f t="shared" si="20"/>
        <v>0</v>
      </c>
      <c r="R240">
        <f t="shared" si="21"/>
        <v>0</v>
      </c>
      <c r="S240">
        <f t="shared" si="22"/>
        <v>0</v>
      </c>
      <c r="T240">
        <f t="shared" si="23"/>
        <v>1</v>
      </c>
    </row>
    <row r="241" spans="1:20">
      <c r="A241" t="s">
        <v>81</v>
      </c>
      <c r="B241" s="3">
        <v>45748</v>
      </c>
      <c r="C241" t="s">
        <v>27</v>
      </c>
      <c r="D241" t="s">
        <v>28</v>
      </c>
      <c r="E241">
        <v>26248.1</v>
      </c>
      <c r="F241">
        <v>9314</v>
      </c>
      <c r="G241">
        <v>0.186</v>
      </c>
      <c r="H241">
        <v>21</v>
      </c>
      <c r="I241">
        <v>83.7</v>
      </c>
      <c r="J241">
        <v>4.62</v>
      </c>
      <c r="K241">
        <v>0</v>
      </c>
      <c r="L241">
        <v>3.3</v>
      </c>
      <c r="M241">
        <v>737070.18</v>
      </c>
      <c r="N241">
        <v>117593.97</v>
      </c>
      <c r="O241">
        <f t="shared" si="18"/>
        <v>0</v>
      </c>
      <c r="P241">
        <f t="shared" si="19"/>
        <v>0</v>
      </c>
      <c r="Q241">
        <f t="shared" si="20"/>
        <v>0</v>
      </c>
      <c r="R241">
        <f t="shared" si="21"/>
        <v>0</v>
      </c>
      <c r="S241">
        <f t="shared" si="22"/>
        <v>0</v>
      </c>
      <c r="T241">
        <f t="shared" si="23"/>
        <v>1</v>
      </c>
    </row>
    <row r="242" spans="1:20">
      <c r="A242" t="s">
        <v>82</v>
      </c>
      <c r="B242" s="3">
        <v>45658</v>
      </c>
      <c r="C242" t="s">
        <v>24</v>
      </c>
      <c r="D242" t="s">
        <v>21</v>
      </c>
      <c r="E242">
        <v>69900.12</v>
      </c>
      <c r="F242">
        <v>8055</v>
      </c>
      <c r="G242">
        <v>0.28100000000000003</v>
      </c>
      <c r="H242">
        <v>22</v>
      </c>
      <c r="I242">
        <v>85.6</v>
      </c>
      <c r="J242">
        <v>10.68</v>
      </c>
      <c r="K242">
        <v>1</v>
      </c>
      <c r="L242">
        <v>2.9</v>
      </c>
      <c r="M242">
        <v>776992.93</v>
      </c>
      <c r="N242">
        <v>101598.32</v>
      </c>
      <c r="O242">
        <f t="shared" si="18"/>
        <v>0</v>
      </c>
      <c r="P242">
        <f t="shared" si="19"/>
        <v>1</v>
      </c>
      <c r="Q242">
        <f t="shared" si="20"/>
        <v>0</v>
      </c>
      <c r="R242">
        <f t="shared" si="21"/>
        <v>1</v>
      </c>
      <c r="S242">
        <f t="shared" si="22"/>
        <v>0</v>
      </c>
      <c r="T242">
        <f t="shared" si="23"/>
        <v>0</v>
      </c>
    </row>
    <row r="243" spans="1:20">
      <c r="A243" t="s">
        <v>82</v>
      </c>
      <c r="B243" s="3">
        <v>45689</v>
      </c>
      <c r="C243" t="s">
        <v>24</v>
      </c>
      <c r="D243" t="s">
        <v>21</v>
      </c>
      <c r="E243">
        <v>51781.599999999999</v>
      </c>
      <c r="F243">
        <v>5648</v>
      </c>
      <c r="G243">
        <v>5.8999999999999997E-2</v>
      </c>
      <c r="H243">
        <v>13</v>
      </c>
      <c r="I243">
        <v>85.5</v>
      </c>
      <c r="J243">
        <v>4.04</v>
      </c>
      <c r="K243">
        <v>0</v>
      </c>
      <c r="L243">
        <v>3.7</v>
      </c>
      <c r="M243">
        <v>676337.41</v>
      </c>
      <c r="N243">
        <v>104355.77</v>
      </c>
      <c r="O243">
        <f t="shared" si="18"/>
        <v>0</v>
      </c>
      <c r="P243">
        <f t="shared" si="19"/>
        <v>1</v>
      </c>
      <c r="Q243">
        <f t="shared" si="20"/>
        <v>0</v>
      </c>
      <c r="R243">
        <f t="shared" si="21"/>
        <v>1</v>
      </c>
      <c r="S243">
        <f t="shared" si="22"/>
        <v>0</v>
      </c>
      <c r="T243">
        <f t="shared" si="23"/>
        <v>0</v>
      </c>
    </row>
    <row r="244" spans="1:20">
      <c r="A244" t="s">
        <v>82</v>
      </c>
      <c r="B244" s="3">
        <v>45717</v>
      </c>
      <c r="C244" t="s">
        <v>24</v>
      </c>
      <c r="D244" t="s">
        <v>21</v>
      </c>
      <c r="E244">
        <v>70799.64</v>
      </c>
      <c r="F244">
        <v>10076</v>
      </c>
      <c r="G244">
        <v>0.152</v>
      </c>
      <c r="H244">
        <v>24</v>
      </c>
      <c r="I244">
        <v>84.8</v>
      </c>
      <c r="J244">
        <v>1.87</v>
      </c>
      <c r="K244">
        <v>0</v>
      </c>
      <c r="L244">
        <v>3.5</v>
      </c>
      <c r="M244">
        <v>828219.67</v>
      </c>
      <c r="N244">
        <v>179806.87</v>
      </c>
      <c r="O244">
        <f t="shared" si="18"/>
        <v>0</v>
      </c>
      <c r="P244">
        <f t="shared" si="19"/>
        <v>1</v>
      </c>
      <c r="Q244">
        <f t="shared" si="20"/>
        <v>0</v>
      </c>
      <c r="R244">
        <f t="shared" si="21"/>
        <v>1</v>
      </c>
      <c r="S244">
        <f t="shared" si="22"/>
        <v>0</v>
      </c>
      <c r="T244">
        <f t="shared" si="23"/>
        <v>0</v>
      </c>
    </row>
    <row r="245" spans="1:20">
      <c r="A245" t="s">
        <v>82</v>
      </c>
      <c r="B245" s="3">
        <v>45748</v>
      </c>
      <c r="C245" t="s">
        <v>24</v>
      </c>
      <c r="D245" t="s">
        <v>21</v>
      </c>
      <c r="E245">
        <v>53546.34</v>
      </c>
      <c r="F245">
        <v>8004</v>
      </c>
      <c r="G245">
        <v>0</v>
      </c>
      <c r="H245">
        <v>21</v>
      </c>
      <c r="I245">
        <v>95.2</v>
      </c>
      <c r="J245">
        <v>2.83</v>
      </c>
      <c r="K245">
        <v>0</v>
      </c>
      <c r="L245">
        <v>3</v>
      </c>
      <c r="M245">
        <v>763159.92</v>
      </c>
      <c r="N245">
        <v>177104.87</v>
      </c>
      <c r="O245">
        <f t="shared" si="18"/>
        <v>0</v>
      </c>
      <c r="P245">
        <f t="shared" si="19"/>
        <v>1</v>
      </c>
      <c r="Q245">
        <f t="shared" si="20"/>
        <v>0</v>
      </c>
      <c r="R245">
        <f t="shared" si="21"/>
        <v>1</v>
      </c>
      <c r="S245">
        <f t="shared" si="22"/>
        <v>0</v>
      </c>
      <c r="T245">
        <f t="shared" si="23"/>
        <v>0</v>
      </c>
    </row>
    <row r="246" spans="1:20">
      <c r="A246" t="s">
        <v>83</v>
      </c>
      <c r="B246" s="3">
        <v>45658</v>
      </c>
      <c r="C246" t="s">
        <v>15</v>
      </c>
      <c r="D246" t="s">
        <v>18</v>
      </c>
      <c r="E246">
        <v>76942.2</v>
      </c>
      <c r="F246">
        <v>8934</v>
      </c>
      <c r="G246">
        <v>8.4000000000000005E-2</v>
      </c>
      <c r="H246">
        <v>20</v>
      </c>
      <c r="I246">
        <v>91</v>
      </c>
      <c r="J246">
        <v>0.95</v>
      </c>
      <c r="K246">
        <v>0</v>
      </c>
      <c r="L246">
        <v>3.2</v>
      </c>
      <c r="M246">
        <v>802001.68</v>
      </c>
      <c r="N246">
        <v>159715.82</v>
      </c>
      <c r="O246">
        <f t="shared" si="18"/>
        <v>0</v>
      </c>
      <c r="P246">
        <f t="shared" si="19"/>
        <v>0</v>
      </c>
      <c r="Q246">
        <f t="shared" si="20"/>
        <v>1</v>
      </c>
      <c r="R246">
        <f t="shared" si="21"/>
        <v>0</v>
      </c>
      <c r="S246">
        <f t="shared" si="22"/>
        <v>1</v>
      </c>
      <c r="T246">
        <f t="shared" si="23"/>
        <v>0</v>
      </c>
    </row>
    <row r="247" spans="1:20">
      <c r="A247" t="s">
        <v>83</v>
      </c>
      <c r="B247" s="3">
        <v>45689</v>
      </c>
      <c r="C247" t="s">
        <v>15</v>
      </c>
      <c r="D247" t="s">
        <v>18</v>
      </c>
      <c r="E247">
        <v>48060.78</v>
      </c>
      <c r="F247">
        <v>8733</v>
      </c>
      <c r="G247">
        <v>0</v>
      </c>
      <c r="H247">
        <v>20</v>
      </c>
      <c r="I247">
        <v>89.9</v>
      </c>
      <c r="J247">
        <v>0.8</v>
      </c>
      <c r="K247">
        <v>0</v>
      </c>
      <c r="L247">
        <v>3.4</v>
      </c>
      <c r="M247">
        <v>750471.34</v>
      </c>
      <c r="N247">
        <v>133788.04</v>
      </c>
      <c r="O247">
        <f t="shared" si="18"/>
        <v>0</v>
      </c>
      <c r="P247">
        <f t="shared" si="19"/>
        <v>0</v>
      </c>
      <c r="Q247">
        <f t="shared" si="20"/>
        <v>1</v>
      </c>
      <c r="R247">
        <f t="shared" si="21"/>
        <v>0</v>
      </c>
      <c r="S247">
        <f t="shared" si="22"/>
        <v>1</v>
      </c>
      <c r="T247">
        <f t="shared" si="23"/>
        <v>0</v>
      </c>
    </row>
    <row r="248" spans="1:20">
      <c r="A248" t="s">
        <v>83</v>
      </c>
      <c r="B248" s="3">
        <v>45717</v>
      </c>
      <c r="C248" t="s">
        <v>15</v>
      </c>
      <c r="D248" t="s">
        <v>18</v>
      </c>
      <c r="E248">
        <v>57390.04</v>
      </c>
      <c r="F248">
        <v>7374</v>
      </c>
      <c r="G248">
        <v>0.21</v>
      </c>
      <c r="H248">
        <v>21</v>
      </c>
      <c r="I248">
        <v>91.8</v>
      </c>
      <c r="J248">
        <v>0.2</v>
      </c>
      <c r="K248">
        <v>0</v>
      </c>
      <c r="L248">
        <v>3.1</v>
      </c>
      <c r="M248">
        <v>679230.86</v>
      </c>
      <c r="N248">
        <v>106927.58</v>
      </c>
      <c r="O248">
        <f t="shared" si="18"/>
        <v>0</v>
      </c>
      <c r="P248">
        <f t="shared" si="19"/>
        <v>0</v>
      </c>
      <c r="Q248">
        <f t="shared" si="20"/>
        <v>1</v>
      </c>
      <c r="R248">
        <f t="shared" si="21"/>
        <v>0</v>
      </c>
      <c r="S248">
        <f t="shared" si="22"/>
        <v>1</v>
      </c>
      <c r="T248">
        <f t="shared" si="23"/>
        <v>0</v>
      </c>
    </row>
    <row r="249" spans="1:20">
      <c r="A249" t="s">
        <v>83</v>
      </c>
      <c r="B249" s="3">
        <v>45748</v>
      </c>
      <c r="C249" t="s">
        <v>15</v>
      </c>
      <c r="D249" t="s">
        <v>18</v>
      </c>
      <c r="E249">
        <v>21536.18</v>
      </c>
      <c r="F249">
        <v>8119</v>
      </c>
      <c r="G249">
        <v>0.22700000000000001</v>
      </c>
      <c r="H249">
        <v>20</v>
      </c>
      <c r="I249">
        <v>90.4</v>
      </c>
      <c r="J249">
        <v>1.7</v>
      </c>
      <c r="K249">
        <v>0</v>
      </c>
      <c r="L249">
        <v>3.3</v>
      </c>
      <c r="M249">
        <v>679888.74</v>
      </c>
      <c r="N249">
        <v>83406.89</v>
      </c>
      <c r="O249">
        <f t="shared" si="18"/>
        <v>0</v>
      </c>
      <c r="P249">
        <f t="shared" si="19"/>
        <v>0</v>
      </c>
      <c r="Q249">
        <f t="shared" si="20"/>
        <v>1</v>
      </c>
      <c r="R249">
        <f t="shared" si="21"/>
        <v>0</v>
      </c>
      <c r="S249">
        <f t="shared" si="22"/>
        <v>1</v>
      </c>
      <c r="T249">
        <f t="shared" si="23"/>
        <v>0</v>
      </c>
    </row>
    <row r="250" spans="1:20">
      <c r="A250" t="s">
        <v>84</v>
      </c>
      <c r="B250" s="3">
        <v>45658</v>
      </c>
      <c r="C250" t="s">
        <v>20</v>
      </c>
      <c r="D250" t="s">
        <v>18</v>
      </c>
      <c r="E250">
        <v>40923.67</v>
      </c>
      <c r="F250">
        <v>3875</v>
      </c>
      <c r="G250">
        <v>0.15</v>
      </c>
      <c r="H250">
        <v>10</v>
      </c>
      <c r="I250">
        <v>96.1</v>
      </c>
      <c r="J250" s="6">
        <v>4.5599999999999996</v>
      </c>
      <c r="K250">
        <v>0</v>
      </c>
      <c r="L250">
        <v>3.8</v>
      </c>
      <c r="M250">
        <v>606783.67000000004</v>
      </c>
      <c r="N250">
        <v>74515.87</v>
      </c>
      <c r="O250">
        <f t="shared" si="18"/>
        <v>1</v>
      </c>
      <c r="P250">
        <f t="shared" si="19"/>
        <v>0</v>
      </c>
      <c r="Q250">
        <f t="shared" si="20"/>
        <v>0</v>
      </c>
      <c r="R250">
        <f t="shared" si="21"/>
        <v>0</v>
      </c>
      <c r="S250">
        <f t="shared" si="22"/>
        <v>1</v>
      </c>
      <c r="T250">
        <f t="shared" si="23"/>
        <v>0</v>
      </c>
    </row>
    <row r="251" spans="1:20">
      <c r="A251" t="s">
        <v>84</v>
      </c>
      <c r="B251" s="3">
        <v>45689</v>
      </c>
      <c r="C251" t="s">
        <v>20</v>
      </c>
      <c r="D251" t="s">
        <v>18</v>
      </c>
      <c r="E251">
        <v>72932.55</v>
      </c>
      <c r="F251">
        <v>5765</v>
      </c>
      <c r="G251">
        <v>2.5999999999999999E-2</v>
      </c>
      <c r="H251">
        <v>17</v>
      </c>
      <c r="I251">
        <v>81.8</v>
      </c>
      <c r="J251">
        <v>5.0999999999999996</v>
      </c>
      <c r="K251">
        <v>0</v>
      </c>
      <c r="L251">
        <v>3.6</v>
      </c>
      <c r="M251">
        <v>642751.42000000004</v>
      </c>
      <c r="N251">
        <v>131942.15</v>
      </c>
      <c r="O251">
        <f t="shared" si="18"/>
        <v>1</v>
      </c>
      <c r="P251">
        <f t="shared" si="19"/>
        <v>0</v>
      </c>
      <c r="Q251">
        <f t="shared" si="20"/>
        <v>0</v>
      </c>
      <c r="R251">
        <f t="shared" si="21"/>
        <v>0</v>
      </c>
      <c r="S251">
        <f t="shared" si="22"/>
        <v>1</v>
      </c>
      <c r="T251">
        <f t="shared" si="23"/>
        <v>0</v>
      </c>
    </row>
    <row r="252" spans="1:20">
      <c r="A252" t="s">
        <v>84</v>
      </c>
      <c r="B252" s="3">
        <v>45717</v>
      </c>
      <c r="C252" t="s">
        <v>20</v>
      </c>
      <c r="D252" t="s">
        <v>18</v>
      </c>
      <c r="E252">
        <v>38361.93</v>
      </c>
      <c r="F252">
        <v>6322</v>
      </c>
      <c r="G252">
        <v>0.27300000000000002</v>
      </c>
      <c r="H252">
        <v>15</v>
      </c>
      <c r="I252">
        <v>88.4</v>
      </c>
      <c r="J252">
        <v>0.83</v>
      </c>
      <c r="K252">
        <v>0</v>
      </c>
      <c r="L252">
        <v>4</v>
      </c>
      <c r="M252">
        <v>647953.78</v>
      </c>
      <c r="N252">
        <v>118497.43</v>
      </c>
      <c r="O252">
        <f t="shared" si="18"/>
        <v>1</v>
      </c>
      <c r="P252">
        <f t="shared" si="19"/>
        <v>0</v>
      </c>
      <c r="Q252">
        <f t="shared" si="20"/>
        <v>0</v>
      </c>
      <c r="R252">
        <f t="shared" si="21"/>
        <v>0</v>
      </c>
      <c r="S252">
        <f t="shared" si="22"/>
        <v>1</v>
      </c>
      <c r="T252">
        <f t="shared" si="23"/>
        <v>0</v>
      </c>
    </row>
    <row r="253" spans="1:20">
      <c r="A253" t="s">
        <v>84</v>
      </c>
      <c r="B253" s="3">
        <v>45748</v>
      </c>
      <c r="C253" t="s">
        <v>20</v>
      </c>
      <c r="D253" t="s">
        <v>18</v>
      </c>
      <c r="E253">
        <v>97480.94</v>
      </c>
      <c r="F253">
        <v>6840</v>
      </c>
      <c r="G253">
        <v>8.6999999999999994E-2</v>
      </c>
      <c r="H253">
        <v>14</v>
      </c>
      <c r="I253">
        <v>79.2</v>
      </c>
      <c r="J253">
        <v>1.1399999999999999</v>
      </c>
      <c r="K253">
        <v>0</v>
      </c>
      <c r="L253">
        <v>4</v>
      </c>
      <c r="M253">
        <v>729440.45</v>
      </c>
      <c r="N253">
        <v>87614.29</v>
      </c>
      <c r="O253">
        <f t="shared" si="18"/>
        <v>1</v>
      </c>
      <c r="P253">
        <f t="shared" si="19"/>
        <v>0</v>
      </c>
      <c r="Q253">
        <f t="shared" si="20"/>
        <v>0</v>
      </c>
      <c r="R253">
        <f t="shared" si="21"/>
        <v>0</v>
      </c>
      <c r="S253">
        <f t="shared" si="22"/>
        <v>1</v>
      </c>
      <c r="T253">
        <f t="shared" si="23"/>
        <v>0</v>
      </c>
    </row>
    <row r="254" spans="1:20">
      <c r="A254" t="s">
        <v>85</v>
      </c>
      <c r="B254" s="3">
        <v>45658</v>
      </c>
      <c r="C254" t="s">
        <v>24</v>
      </c>
      <c r="D254" t="s">
        <v>21</v>
      </c>
      <c r="E254">
        <v>81801.8</v>
      </c>
      <c r="F254">
        <v>6782</v>
      </c>
      <c r="G254">
        <v>0.05</v>
      </c>
      <c r="H254">
        <v>16</v>
      </c>
      <c r="I254">
        <v>99</v>
      </c>
      <c r="J254">
        <v>9.5399999999999991</v>
      </c>
      <c r="K254">
        <v>0</v>
      </c>
      <c r="L254">
        <v>3.7</v>
      </c>
      <c r="M254">
        <v>764949</v>
      </c>
      <c r="N254">
        <v>148322.43</v>
      </c>
      <c r="O254">
        <f t="shared" si="18"/>
        <v>0</v>
      </c>
      <c r="P254">
        <f t="shared" si="19"/>
        <v>1</v>
      </c>
      <c r="Q254">
        <f t="shared" si="20"/>
        <v>0</v>
      </c>
      <c r="R254">
        <f t="shared" si="21"/>
        <v>1</v>
      </c>
      <c r="S254">
        <f t="shared" si="22"/>
        <v>0</v>
      </c>
      <c r="T254">
        <f t="shared" si="23"/>
        <v>0</v>
      </c>
    </row>
    <row r="255" spans="1:20">
      <c r="A255" t="s">
        <v>85</v>
      </c>
      <c r="B255" s="3">
        <v>45689</v>
      </c>
      <c r="C255" t="s">
        <v>24</v>
      </c>
      <c r="D255" t="s">
        <v>21</v>
      </c>
      <c r="E255">
        <v>63582.11</v>
      </c>
      <c r="F255">
        <v>6856</v>
      </c>
      <c r="G255">
        <v>7.3999999999999996E-2</v>
      </c>
      <c r="H255">
        <v>17</v>
      </c>
      <c r="I255">
        <v>89.5</v>
      </c>
      <c r="J255">
        <v>5.48</v>
      </c>
      <c r="K255">
        <v>0</v>
      </c>
      <c r="L255">
        <v>3.2</v>
      </c>
      <c r="M255">
        <v>799046.94</v>
      </c>
      <c r="N255">
        <v>144553.64000000001</v>
      </c>
      <c r="O255">
        <f t="shared" si="18"/>
        <v>0</v>
      </c>
      <c r="P255">
        <f t="shared" si="19"/>
        <v>1</v>
      </c>
      <c r="Q255">
        <f t="shared" si="20"/>
        <v>0</v>
      </c>
      <c r="R255">
        <f t="shared" si="21"/>
        <v>1</v>
      </c>
      <c r="S255">
        <f t="shared" si="22"/>
        <v>0</v>
      </c>
      <c r="T255">
        <f t="shared" si="23"/>
        <v>0</v>
      </c>
    </row>
    <row r="256" spans="1:20">
      <c r="A256" t="s">
        <v>85</v>
      </c>
      <c r="B256" s="3">
        <v>45717</v>
      </c>
      <c r="C256" t="s">
        <v>24</v>
      </c>
      <c r="D256" t="s">
        <v>21</v>
      </c>
      <c r="E256">
        <v>75412.740000000005</v>
      </c>
      <c r="F256">
        <v>5641</v>
      </c>
      <c r="G256">
        <v>5.8999999999999997E-2</v>
      </c>
      <c r="H256">
        <v>13</v>
      </c>
      <c r="I256">
        <v>87.9</v>
      </c>
      <c r="J256">
        <v>0.84</v>
      </c>
      <c r="K256">
        <v>0</v>
      </c>
      <c r="L256">
        <v>3.6</v>
      </c>
      <c r="M256">
        <v>720079.54</v>
      </c>
      <c r="N256">
        <v>119499.47</v>
      </c>
      <c r="O256">
        <f t="shared" si="18"/>
        <v>0</v>
      </c>
      <c r="P256">
        <f t="shared" si="19"/>
        <v>1</v>
      </c>
      <c r="Q256">
        <f t="shared" si="20"/>
        <v>0</v>
      </c>
      <c r="R256">
        <f t="shared" si="21"/>
        <v>1</v>
      </c>
      <c r="S256">
        <f t="shared" si="22"/>
        <v>0</v>
      </c>
      <c r="T256">
        <f t="shared" si="23"/>
        <v>0</v>
      </c>
    </row>
    <row r="257" spans="1:20">
      <c r="A257" t="s">
        <v>85</v>
      </c>
      <c r="B257" s="3">
        <v>45748</v>
      </c>
      <c r="C257" t="s">
        <v>24</v>
      </c>
      <c r="D257" t="s">
        <v>21</v>
      </c>
      <c r="E257">
        <v>36290.080000000002</v>
      </c>
      <c r="F257">
        <v>5787</v>
      </c>
      <c r="G257">
        <v>0</v>
      </c>
      <c r="H257">
        <v>17</v>
      </c>
      <c r="I257">
        <v>88.3</v>
      </c>
      <c r="J257">
        <v>4.1900000000000004</v>
      </c>
      <c r="K257">
        <v>0</v>
      </c>
      <c r="L257">
        <v>4.0999999999999996</v>
      </c>
      <c r="M257">
        <v>612390.14</v>
      </c>
      <c r="N257">
        <v>108985.74</v>
      </c>
      <c r="O257">
        <f t="shared" si="18"/>
        <v>0</v>
      </c>
      <c r="P257">
        <f t="shared" si="19"/>
        <v>1</v>
      </c>
      <c r="Q257">
        <f t="shared" si="20"/>
        <v>0</v>
      </c>
      <c r="R257">
        <f t="shared" si="21"/>
        <v>1</v>
      </c>
      <c r="S257">
        <f t="shared" si="22"/>
        <v>0</v>
      </c>
      <c r="T257">
        <f t="shared" si="23"/>
        <v>0</v>
      </c>
    </row>
    <row r="258" spans="1:20">
      <c r="A258" t="s">
        <v>86</v>
      </c>
      <c r="B258" s="3">
        <v>45658</v>
      </c>
      <c r="C258" t="s">
        <v>24</v>
      </c>
      <c r="D258" t="s">
        <v>28</v>
      </c>
      <c r="E258">
        <v>65272.58</v>
      </c>
      <c r="F258">
        <v>8165</v>
      </c>
      <c r="G258">
        <v>5.0999999999999997E-2</v>
      </c>
      <c r="H258">
        <v>19</v>
      </c>
      <c r="I258">
        <v>87.8</v>
      </c>
      <c r="J258">
        <v>1.26</v>
      </c>
      <c r="K258">
        <v>1</v>
      </c>
      <c r="L258">
        <v>4.3</v>
      </c>
      <c r="M258">
        <v>840108.12</v>
      </c>
      <c r="N258">
        <v>126587.01</v>
      </c>
      <c r="O258">
        <f t="shared" si="18"/>
        <v>0</v>
      </c>
      <c r="P258">
        <f t="shared" si="19"/>
        <v>1</v>
      </c>
      <c r="Q258">
        <f t="shared" si="20"/>
        <v>0</v>
      </c>
      <c r="R258">
        <f t="shared" si="21"/>
        <v>0</v>
      </c>
      <c r="S258">
        <f t="shared" si="22"/>
        <v>0</v>
      </c>
      <c r="T258">
        <f t="shared" si="23"/>
        <v>1</v>
      </c>
    </row>
    <row r="259" spans="1:20">
      <c r="A259" t="s">
        <v>86</v>
      </c>
      <c r="B259" s="3">
        <v>45689</v>
      </c>
      <c r="C259" t="s">
        <v>24</v>
      </c>
      <c r="D259" t="s">
        <v>28</v>
      </c>
      <c r="E259">
        <v>28670.43</v>
      </c>
      <c r="F259">
        <v>7574</v>
      </c>
      <c r="G259">
        <v>0.114</v>
      </c>
      <c r="H259">
        <v>19</v>
      </c>
      <c r="I259">
        <v>82.7</v>
      </c>
      <c r="J259">
        <v>2.74</v>
      </c>
      <c r="K259">
        <v>0</v>
      </c>
      <c r="L259">
        <v>4.5999999999999996</v>
      </c>
      <c r="M259">
        <v>697888.09</v>
      </c>
      <c r="N259">
        <v>116249.87</v>
      </c>
      <c r="O259">
        <f t="shared" ref="O259:O321" si="24">IF(C259="North",1,0)</f>
        <v>0</v>
      </c>
      <c r="P259">
        <f t="shared" ref="P259:P321" si="25">IF(C259="South",1,0)</f>
        <v>1</v>
      </c>
      <c r="Q259">
        <f t="shared" ref="Q259:Q321" si="26">IF(C259="East",1,0)</f>
        <v>0</v>
      </c>
      <c r="R259">
        <f t="shared" ref="R259:R321" si="27">IF(D259="Airport",1,0)</f>
        <v>0</v>
      </c>
      <c r="S259">
        <f t="shared" ref="S259:S321" si="28">IF(D259="High Street",1,0)</f>
        <v>0</v>
      </c>
      <c r="T259">
        <f t="shared" ref="T259:T321" si="29">IF(D259="Mall",1,0)</f>
        <v>1</v>
      </c>
    </row>
    <row r="260" spans="1:20">
      <c r="A260" t="s">
        <v>86</v>
      </c>
      <c r="B260" s="3">
        <v>45717</v>
      </c>
      <c r="C260" t="s">
        <v>24</v>
      </c>
      <c r="D260" t="s">
        <v>28</v>
      </c>
      <c r="E260">
        <v>44189.34</v>
      </c>
      <c r="F260">
        <v>8634</v>
      </c>
      <c r="G260">
        <v>0.14299999999999999</v>
      </c>
      <c r="H260">
        <v>19</v>
      </c>
      <c r="I260">
        <v>87.5</v>
      </c>
      <c r="J260">
        <v>3.69</v>
      </c>
      <c r="K260">
        <v>0</v>
      </c>
      <c r="L260">
        <v>4.4000000000000004</v>
      </c>
      <c r="M260">
        <v>746115.59</v>
      </c>
      <c r="N260">
        <v>94662.96</v>
      </c>
      <c r="O260">
        <f t="shared" si="24"/>
        <v>0</v>
      </c>
      <c r="P260">
        <f t="shared" si="25"/>
        <v>1</v>
      </c>
      <c r="Q260">
        <f t="shared" si="26"/>
        <v>0</v>
      </c>
      <c r="R260">
        <f t="shared" si="27"/>
        <v>0</v>
      </c>
      <c r="S260">
        <f t="shared" si="28"/>
        <v>0</v>
      </c>
      <c r="T260">
        <f t="shared" si="29"/>
        <v>1</v>
      </c>
    </row>
    <row r="261" spans="1:20">
      <c r="A261" t="s">
        <v>86</v>
      </c>
      <c r="B261" s="3">
        <v>45748</v>
      </c>
      <c r="C261" t="s">
        <v>24</v>
      </c>
      <c r="D261" t="s">
        <v>28</v>
      </c>
      <c r="E261">
        <v>38397.82</v>
      </c>
      <c r="F261">
        <v>7836</v>
      </c>
      <c r="G261">
        <v>7.0000000000000001E-3</v>
      </c>
      <c r="H261">
        <v>21</v>
      </c>
      <c r="I261">
        <v>92.2</v>
      </c>
      <c r="J261">
        <v>1.82</v>
      </c>
      <c r="K261">
        <v>0</v>
      </c>
      <c r="L261">
        <v>3.6</v>
      </c>
      <c r="M261">
        <v>776110.32</v>
      </c>
      <c r="N261">
        <v>139676.21</v>
      </c>
      <c r="O261">
        <f t="shared" si="24"/>
        <v>0</v>
      </c>
      <c r="P261">
        <f t="shared" si="25"/>
        <v>1</v>
      </c>
      <c r="Q261">
        <f t="shared" si="26"/>
        <v>0</v>
      </c>
      <c r="R261">
        <f t="shared" si="27"/>
        <v>0</v>
      </c>
      <c r="S261">
        <f t="shared" si="28"/>
        <v>0</v>
      </c>
      <c r="T261">
        <f t="shared" si="29"/>
        <v>1</v>
      </c>
    </row>
    <row r="262" spans="1:20">
      <c r="A262" t="s">
        <v>87</v>
      </c>
      <c r="B262" s="3">
        <v>45658</v>
      </c>
      <c r="C262" t="s">
        <v>27</v>
      </c>
      <c r="D262" t="s">
        <v>18</v>
      </c>
      <c r="E262">
        <v>14519.37</v>
      </c>
      <c r="F262">
        <v>3047</v>
      </c>
      <c r="G262">
        <v>0.13500000000000001</v>
      </c>
      <c r="H262">
        <v>10</v>
      </c>
      <c r="I262">
        <v>90.3</v>
      </c>
      <c r="J262">
        <v>6.62</v>
      </c>
      <c r="K262">
        <v>0</v>
      </c>
      <c r="L262">
        <v>4.2</v>
      </c>
      <c r="M262">
        <v>528852.62</v>
      </c>
      <c r="N262">
        <v>68426.210000000006</v>
      </c>
      <c r="O262">
        <f t="shared" si="24"/>
        <v>0</v>
      </c>
      <c r="P262">
        <f t="shared" si="25"/>
        <v>0</v>
      </c>
      <c r="Q262">
        <f t="shared" si="26"/>
        <v>0</v>
      </c>
      <c r="R262">
        <f t="shared" si="27"/>
        <v>0</v>
      </c>
      <c r="S262">
        <f t="shared" si="28"/>
        <v>1</v>
      </c>
      <c r="T262">
        <f t="shared" si="29"/>
        <v>0</v>
      </c>
    </row>
    <row r="263" spans="1:20">
      <c r="A263" t="s">
        <v>87</v>
      </c>
      <c r="B263" s="3">
        <v>45689</v>
      </c>
      <c r="C263" t="s">
        <v>27</v>
      </c>
      <c r="D263" t="s">
        <v>18</v>
      </c>
      <c r="E263">
        <v>43288.2</v>
      </c>
      <c r="F263">
        <v>4783</v>
      </c>
      <c r="G263">
        <v>0.16900000000000001</v>
      </c>
      <c r="H263">
        <v>13</v>
      </c>
      <c r="I263">
        <v>87.3</v>
      </c>
      <c r="J263" s="6">
        <v>4.5599999999999996</v>
      </c>
      <c r="K263">
        <v>0</v>
      </c>
      <c r="L263">
        <v>4.2</v>
      </c>
      <c r="M263">
        <v>605751.32999999996</v>
      </c>
      <c r="N263">
        <v>60685.53</v>
      </c>
      <c r="O263">
        <f t="shared" si="24"/>
        <v>0</v>
      </c>
      <c r="P263">
        <f t="shared" si="25"/>
        <v>0</v>
      </c>
      <c r="Q263">
        <f t="shared" si="26"/>
        <v>0</v>
      </c>
      <c r="R263">
        <f t="shared" si="27"/>
        <v>0</v>
      </c>
      <c r="S263">
        <f t="shared" si="28"/>
        <v>1</v>
      </c>
      <c r="T263">
        <f t="shared" si="29"/>
        <v>0</v>
      </c>
    </row>
    <row r="264" spans="1:20">
      <c r="A264" t="s">
        <v>87</v>
      </c>
      <c r="B264" s="3">
        <v>45717</v>
      </c>
      <c r="C264" t="s">
        <v>27</v>
      </c>
      <c r="D264" t="s">
        <v>18</v>
      </c>
      <c r="E264">
        <v>51450.55</v>
      </c>
      <c r="F264">
        <v>4902</v>
      </c>
      <c r="G264">
        <v>8.5999999999999993E-2</v>
      </c>
      <c r="H264">
        <v>11</v>
      </c>
      <c r="I264">
        <v>83.7</v>
      </c>
      <c r="J264">
        <v>6.92</v>
      </c>
      <c r="K264">
        <v>1</v>
      </c>
      <c r="L264">
        <v>4.2</v>
      </c>
      <c r="M264">
        <v>677640.65</v>
      </c>
      <c r="N264">
        <v>111610.89</v>
      </c>
      <c r="O264">
        <f t="shared" si="24"/>
        <v>0</v>
      </c>
      <c r="P264">
        <f t="shared" si="25"/>
        <v>0</v>
      </c>
      <c r="Q264">
        <f t="shared" si="26"/>
        <v>0</v>
      </c>
      <c r="R264">
        <f t="shared" si="27"/>
        <v>0</v>
      </c>
      <c r="S264">
        <f t="shared" si="28"/>
        <v>1</v>
      </c>
      <c r="T264">
        <f t="shared" si="29"/>
        <v>0</v>
      </c>
    </row>
    <row r="265" spans="1:20">
      <c r="A265" t="s">
        <v>87</v>
      </c>
      <c r="B265" s="3">
        <v>45748</v>
      </c>
      <c r="C265" t="s">
        <v>27</v>
      </c>
      <c r="D265" t="s">
        <v>18</v>
      </c>
      <c r="E265">
        <v>58688.26</v>
      </c>
      <c r="F265">
        <v>4022</v>
      </c>
      <c r="G265">
        <v>0.217</v>
      </c>
      <c r="H265">
        <v>12</v>
      </c>
      <c r="I265">
        <v>93.8</v>
      </c>
      <c r="J265">
        <v>11.78</v>
      </c>
      <c r="K265">
        <v>0</v>
      </c>
      <c r="L265">
        <v>3.7</v>
      </c>
      <c r="M265">
        <v>636613.23</v>
      </c>
      <c r="N265">
        <v>78908.350000000006</v>
      </c>
      <c r="O265">
        <f t="shared" si="24"/>
        <v>0</v>
      </c>
      <c r="P265">
        <f t="shared" si="25"/>
        <v>0</v>
      </c>
      <c r="Q265">
        <f t="shared" si="26"/>
        <v>0</v>
      </c>
      <c r="R265">
        <f t="shared" si="27"/>
        <v>0</v>
      </c>
      <c r="S265">
        <f t="shared" si="28"/>
        <v>1</v>
      </c>
      <c r="T265">
        <f t="shared" si="29"/>
        <v>0</v>
      </c>
    </row>
    <row r="266" spans="1:20">
      <c r="A266" t="s">
        <v>88</v>
      </c>
      <c r="B266" s="3">
        <v>45658</v>
      </c>
      <c r="C266" t="s">
        <v>15</v>
      </c>
      <c r="D266" t="s">
        <v>18</v>
      </c>
      <c r="E266">
        <v>58981.91</v>
      </c>
      <c r="F266">
        <v>7324</v>
      </c>
      <c r="G266">
        <v>9.4E-2</v>
      </c>
      <c r="H266">
        <v>15</v>
      </c>
      <c r="I266">
        <v>95.8</v>
      </c>
      <c r="J266">
        <v>0.5</v>
      </c>
      <c r="K266">
        <v>0</v>
      </c>
      <c r="L266">
        <v>3.5</v>
      </c>
      <c r="M266">
        <v>708985.19</v>
      </c>
      <c r="N266">
        <v>125368.16</v>
      </c>
      <c r="O266">
        <f t="shared" si="24"/>
        <v>0</v>
      </c>
      <c r="P266">
        <f t="shared" si="25"/>
        <v>0</v>
      </c>
      <c r="Q266">
        <f t="shared" si="26"/>
        <v>1</v>
      </c>
      <c r="R266">
        <f t="shared" si="27"/>
        <v>0</v>
      </c>
      <c r="S266">
        <f t="shared" si="28"/>
        <v>1</v>
      </c>
      <c r="T266">
        <f t="shared" si="29"/>
        <v>0</v>
      </c>
    </row>
    <row r="267" spans="1:20">
      <c r="A267" t="s">
        <v>88</v>
      </c>
      <c r="B267" s="3">
        <v>45689</v>
      </c>
      <c r="C267" t="s">
        <v>15</v>
      </c>
      <c r="D267" t="s">
        <v>18</v>
      </c>
      <c r="E267">
        <v>73454.539999999994</v>
      </c>
      <c r="F267">
        <v>8129</v>
      </c>
      <c r="G267">
        <v>0.21099999999999999</v>
      </c>
      <c r="H267">
        <v>20</v>
      </c>
      <c r="I267">
        <v>85.2</v>
      </c>
      <c r="J267">
        <v>0.88</v>
      </c>
      <c r="K267">
        <v>0</v>
      </c>
      <c r="L267">
        <v>3.7</v>
      </c>
      <c r="M267">
        <v>767792.94</v>
      </c>
      <c r="N267">
        <v>96235.77</v>
      </c>
      <c r="O267">
        <f t="shared" si="24"/>
        <v>0</v>
      </c>
      <c r="P267">
        <f t="shared" si="25"/>
        <v>0</v>
      </c>
      <c r="Q267">
        <f t="shared" si="26"/>
        <v>1</v>
      </c>
      <c r="R267">
        <f t="shared" si="27"/>
        <v>0</v>
      </c>
      <c r="S267">
        <f t="shared" si="28"/>
        <v>1</v>
      </c>
      <c r="T267">
        <f t="shared" si="29"/>
        <v>0</v>
      </c>
    </row>
    <row r="268" spans="1:20">
      <c r="A268" t="s">
        <v>88</v>
      </c>
      <c r="B268" s="3">
        <v>45717</v>
      </c>
      <c r="C268" t="s">
        <v>15</v>
      </c>
      <c r="D268" t="s">
        <v>18</v>
      </c>
      <c r="E268">
        <v>56602.39</v>
      </c>
      <c r="F268">
        <v>7969</v>
      </c>
      <c r="G268">
        <v>0.17</v>
      </c>
      <c r="H268">
        <v>21</v>
      </c>
      <c r="I268">
        <v>88.3</v>
      </c>
      <c r="J268">
        <v>2.25</v>
      </c>
      <c r="K268">
        <v>0</v>
      </c>
      <c r="L268">
        <v>3.7</v>
      </c>
      <c r="M268">
        <v>745580.51</v>
      </c>
      <c r="N268">
        <v>116273.68</v>
      </c>
      <c r="O268">
        <f t="shared" si="24"/>
        <v>0</v>
      </c>
      <c r="P268">
        <f t="shared" si="25"/>
        <v>0</v>
      </c>
      <c r="Q268">
        <f t="shared" si="26"/>
        <v>1</v>
      </c>
      <c r="R268">
        <f t="shared" si="27"/>
        <v>0</v>
      </c>
      <c r="S268">
        <f t="shared" si="28"/>
        <v>1</v>
      </c>
      <c r="T268">
        <f t="shared" si="29"/>
        <v>0</v>
      </c>
    </row>
    <row r="269" spans="1:20">
      <c r="A269" t="s">
        <v>88</v>
      </c>
      <c r="B269" s="3">
        <v>45748</v>
      </c>
      <c r="C269" t="s">
        <v>15</v>
      </c>
      <c r="D269" t="s">
        <v>18</v>
      </c>
      <c r="E269">
        <v>67722.289999999994</v>
      </c>
      <c r="F269">
        <v>7240</v>
      </c>
      <c r="G269">
        <v>2.5999999999999999E-2</v>
      </c>
      <c r="H269">
        <v>15</v>
      </c>
      <c r="I269">
        <v>92.9</v>
      </c>
      <c r="J269">
        <v>0.28999999999999998</v>
      </c>
      <c r="K269">
        <v>0</v>
      </c>
      <c r="L269">
        <v>3.5</v>
      </c>
      <c r="M269">
        <v>762328.31</v>
      </c>
      <c r="N269">
        <v>159158.19</v>
      </c>
      <c r="O269">
        <f t="shared" si="24"/>
        <v>0</v>
      </c>
      <c r="P269">
        <f t="shared" si="25"/>
        <v>0</v>
      </c>
      <c r="Q269">
        <f t="shared" si="26"/>
        <v>1</v>
      </c>
      <c r="R269">
        <f t="shared" si="27"/>
        <v>0</v>
      </c>
      <c r="S269">
        <f t="shared" si="28"/>
        <v>1</v>
      </c>
      <c r="T269">
        <f t="shared" si="29"/>
        <v>0</v>
      </c>
    </row>
    <row r="270" spans="1:20">
      <c r="A270" t="s">
        <v>89</v>
      </c>
      <c r="B270" s="3">
        <v>45658</v>
      </c>
      <c r="C270" t="s">
        <v>15</v>
      </c>
      <c r="D270" t="s">
        <v>28</v>
      </c>
      <c r="E270">
        <v>48752.92</v>
      </c>
      <c r="F270">
        <v>8052</v>
      </c>
      <c r="G270">
        <v>0.106</v>
      </c>
      <c r="H270">
        <v>16</v>
      </c>
      <c r="I270">
        <v>94.9</v>
      </c>
      <c r="J270">
        <v>0.65</v>
      </c>
      <c r="K270">
        <v>0</v>
      </c>
      <c r="L270">
        <v>3.6</v>
      </c>
      <c r="M270">
        <v>660633.99</v>
      </c>
      <c r="N270">
        <v>118768.66</v>
      </c>
      <c r="O270">
        <f t="shared" si="24"/>
        <v>0</v>
      </c>
      <c r="P270">
        <f t="shared" si="25"/>
        <v>0</v>
      </c>
      <c r="Q270">
        <f t="shared" si="26"/>
        <v>1</v>
      </c>
      <c r="R270">
        <f t="shared" si="27"/>
        <v>0</v>
      </c>
      <c r="S270">
        <f t="shared" si="28"/>
        <v>0</v>
      </c>
      <c r="T270">
        <f t="shared" si="29"/>
        <v>1</v>
      </c>
    </row>
    <row r="271" spans="1:20">
      <c r="A271" t="s">
        <v>89</v>
      </c>
      <c r="B271" s="3">
        <v>45689</v>
      </c>
      <c r="C271" t="s">
        <v>15</v>
      </c>
      <c r="D271" t="s">
        <v>28</v>
      </c>
      <c r="E271">
        <v>23914.97</v>
      </c>
      <c r="F271">
        <v>8018</v>
      </c>
      <c r="G271">
        <v>0.13900000000000001</v>
      </c>
      <c r="H271">
        <v>20</v>
      </c>
      <c r="I271">
        <v>89</v>
      </c>
      <c r="J271">
        <v>0.2</v>
      </c>
      <c r="K271">
        <v>0</v>
      </c>
      <c r="L271">
        <v>3.5</v>
      </c>
      <c r="M271">
        <v>739374.56</v>
      </c>
      <c r="N271">
        <v>121032.29</v>
      </c>
      <c r="O271">
        <f t="shared" si="24"/>
        <v>0</v>
      </c>
      <c r="P271">
        <f t="shared" si="25"/>
        <v>0</v>
      </c>
      <c r="Q271">
        <f t="shared" si="26"/>
        <v>1</v>
      </c>
      <c r="R271">
        <f t="shared" si="27"/>
        <v>0</v>
      </c>
      <c r="S271">
        <f t="shared" si="28"/>
        <v>0</v>
      </c>
      <c r="T271">
        <f t="shared" si="29"/>
        <v>1</v>
      </c>
    </row>
    <row r="272" spans="1:20">
      <c r="A272" t="s">
        <v>89</v>
      </c>
      <c r="B272" s="3">
        <v>45717</v>
      </c>
      <c r="C272" t="s">
        <v>15</v>
      </c>
      <c r="D272" t="s">
        <v>28</v>
      </c>
      <c r="E272">
        <v>61995.3</v>
      </c>
      <c r="F272">
        <v>10192</v>
      </c>
      <c r="G272">
        <v>0.19800000000000001</v>
      </c>
      <c r="H272">
        <v>21</v>
      </c>
      <c r="I272">
        <v>87.6</v>
      </c>
      <c r="J272">
        <v>3.63</v>
      </c>
      <c r="K272">
        <v>1</v>
      </c>
      <c r="L272">
        <v>3.8</v>
      </c>
      <c r="M272">
        <v>799756.46</v>
      </c>
      <c r="N272">
        <v>105052.93</v>
      </c>
      <c r="O272">
        <f t="shared" si="24"/>
        <v>0</v>
      </c>
      <c r="P272">
        <f t="shared" si="25"/>
        <v>0</v>
      </c>
      <c r="Q272">
        <f t="shared" si="26"/>
        <v>1</v>
      </c>
      <c r="R272">
        <f t="shared" si="27"/>
        <v>0</v>
      </c>
      <c r="S272">
        <f t="shared" si="28"/>
        <v>0</v>
      </c>
      <c r="T272">
        <f t="shared" si="29"/>
        <v>1</v>
      </c>
    </row>
    <row r="273" spans="1:20">
      <c r="A273" t="s">
        <v>89</v>
      </c>
      <c r="B273" s="3">
        <v>45748</v>
      </c>
      <c r="C273" t="s">
        <v>15</v>
      </c>
      <c r="D273" t="s">
        <v>28</v>
      </c>
      <c r="E273">
        <v>29344.93</v>
      </c>
      <c r="F273">
        <v>7446</v>
      </c>
      <c r="G273">
        <v>0.111</v>
      </c>
      <c r="H273">
        <v>15</v>
      </c>
      <c r="I273">
        <v>86.2</v>
      </c>
      <c r="J273">
        <v>0.2</v>
      </c>
      <c r="K273">
        <v>0</v>
      </c>
      <c r="L273">
        <v>3.2</v>
      </c>
      <c r="M273">
        <v>593343</v>
      </c>
      <c r="N273">
        <v>82832.240000000005</v>
      </c>
      <c r="O273">
        <f t="shared" si="24"/>
        <v>0</v>
      </c>
      <c r="P273">
        <f t="shared" si="25"/>
        <v>0</v>
      </c>
      <c r="Q273">
        <f t="shared" si="26"/>
        <v>1</v>
      </c>
      <c r="R273">
        <f t="shared" si="27"/>
        <v>0</v>
      </c>
      <c r="S273">
        <f t="shared" si="28"/>
        <v>0</v>
      </c>
      <c r="T273">
        <f t="shared" si="29"/>
        <v>1</v>
      </c>
    </row>
    <row r="274" spans="1:20">
      <c r="A274" t="s">
        <v>90</v>
      </c>
      <c r="B274" s="3">
        <v>45658</v>
      </c>
      <c r="C274" t="s">
        <v>27</v>
      </c>
      <c r="D274" t="s">
        <v>18</v>
      </c>
      <c r="E274">
        <v>50532.17</v>
      </c>
      <c r="F274">
        <v>5689</v>
      </c>
      <c r="G274">
        <v>5.1999999999999998E-2</v>
      </c>
      <c r="H274">
        <v>17</v>
      </c>
      <c r="I274">
        <v>85.6</v>
      </c>
      <c r="J274">
        <v>6.23</v>
      </c>
      <c r="K274">
        <v>0</v>
      </c>
      <c r="L274">
        <v>3.3</v>
      </c>
      <c r="M274">
        <v>645039.97</v>
      </c>
      <c r="N274">
        <v>83093.33</v>
      </c>
      <c r="O274">
        <f t="shared" si="24"/>
        <v>0</v>
      </c>
      <c r="P274">
        <f t="shared" si="25"/>
        <v>0</v>
      </c>
      <c r="Q274">
        <f t="shared" si="26"/>
        <v>0</v>
      </c>
      <c r="R274">
        <f t="shared" si="27"/>
        <v>0</v>
      </c>
      <c r="S274">
        <f t="shared" si="28"/>
        <v>1</v>
      </c>
      <c r="T274">
        <f t="shared" si="29"/>
        <v>0</v>
      </c>
    </row>
    <row r="275" spans="1:20">
      <c r="A275" t="s">
        <v>90</v>
      </c>
      <c r="B275" s="3">
        <v>45689</v>
      </c>
      <c r="C275" t="s">
        <v>27</v>
      </c>
      <c r="D275" t="s">
        <v>18</v>
      </c>
      <c r="E275">
        <v>17562.57</v>
      </c>
      <c r="F275">
        <v>3326</v>
      </c>
      <c r="G275">
        <v>0.153</v>
      </c>
      <c r="H275">
        <v>14</v>
      </c>
      <c r="I275">
        <v>88.1</v>
      </c>
      <c r="J275">
        <v>1.04</v>
      </c>
      <c r="K275">
        <v>0</v>
      </c>
      <c r="L275">
        <v>3.1</v>
      </c>
      <c r="M275">
        <v>561597.32999999996</v>
      </c>
      <c r="N275">
        <v>75072.75</v>
      </c>
      <c r="O275">
        <f t="shared" si="24"/>
        <v>0</v>
      </c>
      <c r="P275">
        <f t="shared" si="25"/>
        <v>0</v>
      </c>
      <c r="Q275">
        <f t="shared" si="26"/>
        <v>0</v>
      </c>
      <c r="R275">
        <f t="shared" si="27"/>
        <v>0</v>
      </c>
      <c r="S275">
        <f t="shared" si="28"/>
        <v>1</v>
      </c>
      <c r="T275">
        <f t="shared" si="29"/>
        <v>0</v>
      </c>
    </row>
    <row r="276" spans="1:20">
      <c r="A276" t="s">
        <v>90</v>
      </c>
      <c r="B276" s="3">
        <v>45717</v>
      </c>
      <c r="C276" t="s">
        <v>27</v>
      </c>
      <c r="D276" t="s">
        <v>18</v>
      </c>
      <c r="E276">
        <v>47648.71</v>
      </c>
      <c r="F276">
        <v>5767</v>
      </c>
      <c r="G276">
        <v>0.14099999999999999</v>
      </c>
      <c r="H276">
        <v>17</v>
      </c>
      <c r="I276">
        <v>89.8</v>
      </c>
      <c r="J276">
        <v>1.76</v>
      </c>
      <c r="K276">
        <v>0</v>
      </c>
      <c r="L276">
        <v>3.1</v>
      </c>
      <c r="M276">
        <v>635837.74</v>
      </c>
      <c r="N276">
        <v>114740.64</v>
      </c>
      <c r="O276">
        <f t="shared" si="24"/>
        <v>0</v>
      </c>
      <c r="P276">
        <f t="shared" si="25"/>
        <v>0</v>
      </c>
      <c r="Q276">
        <f t="shared" si="26"/>
        <v>0</v>
      </c>
      <c r="R276">
        <f t="shared" si="27"/>
        <v>0</v>
      </c>
      <c r="S276">
        <f t="shared" si="28"/>
        <v>1</v>
      </c>
      <c r="T276">
        <f t="shared" si="29"/>
        <v>0</v>
      </c>
    </row>
    <row r="277" spans="1:20">
      <c r="A277" t="s">
        <v>90</v>
      </c>
      <c r="B277" s="3">
        <v>45748</v>
      </c>
      <c r="C277" t="s">
        <v>27</v>
      </c>
      <c r="D277" t="s">
        <v>18</v>
      </c>
      <c r="E277">
        <v>38297.58</v>
      </c>
      <c r="F277">
        <v>5893</v>
      </c>
      <c r="G277">
        <v>0.247</v>
      </c>
      <c r="H277">
        <v>18</v>
      </c>
      <c r="I277">
        <v>77.599999999999994</v>
      </c>
      <c r="J277">
        <v>2.86</v>
      </c>
      <c r="K277">
        <v>0</v>
      </c>
      <c r="L277">
        <v>3</v>
      </c>
      <c r="M277">
        <v>686737.87</v>
      </c>
      <c r="N277">
        <v>83839.67</v>
      </c>
      <c r="O277">
        <f t="shared" si="24"/>
        <v>0</v>
      </c>
      <c r="P277">
        <f t="shared" si="25"/>
        <v>0</v>
      </c>
      <c r="Q277">
        <f t="shared" si="26"/>
        <v>0</v>
      </c>
      <c r="R277">
        <f t="shared" si="27"/>
        <v>0</v>
      </c>
      <c r="S277">
        <f t="shared" si="28"/>
        <v>1</v>
      </c>
      <c r="T277">
        <f t="shared" si="29"/>
        <v>0</v>
      </c>
    </row>
    <row r="278" spans="1:20">
      <c r="A278" t="s">
        <v>91</v>
      </c>
      <c r="B278" s="3">
        <v>45658</v>
      </c>
      <c r="C278" t="s">
        <v>24</v>
      </c>
      <c r="D278" t="s">
        <v>16</v>
      </c>
      <c r="E278">
        <v>61784.11</v>
      </c>
      <c r="F278">
        <v>8564</v>
      </c>
      <c r="G278">
        <v>0.13</v>
      </c>
      <c r="H278">
        <v>17</v>
      </c>
      <c r="I278">
        <v>87.4</v>
      </c>
      <c r="J278">
        <v>18.14</v>
      </c>
      <c r="K278">
        <v>1</v>
      </c>
      <c r="L278">
        <v>3.4</v>
      </c>
      <c r="M278">
        <v>673076.34</v>
      </c>
      <c r="N278">
        <v>93899.76</v>
      </c>
      <c r="O278">
        <f t="shared" si="24"/>
        <v>0</v>
      </c>
      <c r="P278">
        <f t="shared" si="25"/>
        <v>1</v>
      </c>
      <c r="Q278">
        <f t="shared" si="26"/>
        <v>0</v>
      </c>
      <c r="R278">
        <f t="shared" si="27"/>
        <v>0</v>
      </c>
      <c r="S278">
        <f t="shared" si="28"/>
        <v>0</v>
      </c>
      <c r="T278">
        <f t="shared" si="29"/>
        <v>0</v>
      </c>
    </row>
    <row r="279" spans="1:20">
      <c r="A279" t="s">
        <v>91</v>
      </c>
      <c r="B279" s="3">
        <v>45689</v>
      </c>
      <c r="C279" t="s">
        <v>24</v>
      </c>
      <c r="D279" t="s">
        <v>16</v>
      </c>
      <c r="E279">
        <v>36832.33</v>
      </c>
      <c r="F279">
        <v>8001</v>
      </c>
      <c r="G279">
        <v>0</v>
      </c>
      <c r="H279">
        <v>19</v>
      </c>
      <c r="I279">
        <v>88.7</v>
      </c>
      <c r="J279">
        <v>3.39</v>
      </c>
      <c r="K279">
        <v>0</v>
      </c>
      <c r="L279">
        <v>4</v>
      </c>
      <c r="M279">
        <v>738548.42</v>
      </c>
      <c r="N279">
        <v>134282.76999999999</v>
      </c>
      <c r="O279">
        <f t="shared" si="24"/>
        <v>0</v>
      </c>
      <c r="P279">
        <f t="shared" si="25"/>
        <v>1</v>
      </c>
      <c r="Q279">
        <f t="shared" si="26"/>
        <v>0</v>
      </c>
      <c r="R279">
        <f t="shared" si="27"/>
        <v>0</v>
      </c>
      <c r="S279">
        <f t="shared" si="28"/>
        <v>0</v>
      </c>
      <c r="T279">
        <f t="shared" si="29"/>
        <v>0</v>
      </c>
    </row>
    <row r="280" spans="1:20">
      <c r="A280" t="s">
        <v>91</v>
      </c>
      <c r="B280" s="3">
        <v>45717</v>
      </c>
      <c r="C280" t="s">
        <v>24</v>
      </c>
      <c r="D280" t="s">
        <v>16</v>
      </c>
      <c r="E280">
        <v>48609.41</v>
      </c>
      <c r="F280">
        <v>9324</v>
      </c>
      <c r="G280">
        <v>0.21299999999999999</v>
      </c>
      <c r="H280">
        <v>18</v>
      </c>
      <c r="I280">
        <v>86.5</v>
      </c>
      <c r="J280">
        <v>1.44</v>
      </c>
      <c r="K280">
        <v>0</v>
      </c>
      <c r="L280">
        <v>3.9</v>
      </c>
      <c r="M280">
        <v>756619.77</v>
      </c>
      <c r="N280">
        <v>112057.69</v>
      </c>
      <c r="O280">
        <f t="shared" si="24"/>
        <v>0</v>
      </c>
      <c r="P280">
        <f t="shared" si="25"/>
        <v>1</v>
      </c>
      <c r="Q280">
        <f t="shared" si="26"/>
        <v>0</v>
      </c>
      <c r="R280">
        <f t="shared" si="27"/>
        <v>0</v>
      </c>
      <c r="S280">
        <f t="shared" si="28"/>
        <v>0</v>
      </c>
      <c r="T280">
        <f t="shared" si="29"/>
        <v>0</v>
      </c>
    </row>
    <row r="281" spans="1:20">
      <c r="A281" t="s">
        <v>91</v>
      </c>
      <c r="B281" s="3">
        <v>45748</v>
      </c>
      <c r="C281" t="s">
        <v>24</v>
      </c>
      <c r="D281" t="s">
        <v>16</v>
      </c>
      <c r="E281">
        <v>70284.06</v>
      </c>
      <c r="F281">
        <v>9109</v>
      </c>
      <c r="G281">
        <v>4.0000000000000001E-3</v>
      </c>
      <c r="H281">
        <v>23</v>
      </c>
      <c r="I281">
        <v>87</v>
      </c>
      <c r="J281">
        <v>3.65</v>
      </c>
      <c r="K281">
        <v>0</v>
      </c>
      <c r="L281">
        <v>3.7</v>
      </c>
      <c r="M281">
        <v>761122.42</v>
      </c>
      <c r="N281">
        <v>149802.04</v>
      </c>
      <c r="O281">
        <f t="shared" si="24"/>
        <v>0</v>
      </c>
      <c r="P281">
        <f t="shared" si="25"/>
        <v>1</v>
      </c>
      <c r="Q281">
        <f t="shared" si="26"/>
        <v>0</v>
      </c>
      <c r="R281">
        <f t="shared" si="27"/>
        <v>0</v>
      </c>
      <c r="S281">
        <f t="shared" si="28"/>
        <v>0</v>
      </c>
      <c r="T281">
        <f t="shared" si="29"/>
        <v>0</v>
      </c>
    </row>
    <row r="282" spans="1:20">
      <c r="A282" t="s">
        <v>92</v>
      </c>
      <c r="B282" s="3">
        <v>45658</v>
      </c>
      <c r="C282" t="s">
        <v>24</v>
      </c>
      <c r="D282" t="s">
        <v>18</v>
      </c>
      <c r="E282">
        <v>45940.39</v>
      </c>
      <c r="F282">
        <v>4022</v>
      </c>
      <c r="G282">
        <v>6.9000000000000006E-2</v>
      </c>
      <c r="H282">
        <v>10</v>
      </c>
      <c r="I282">
        <v>83</v>
      </c>
      <c r="J282">
        <v>1.23</v>
      </c>
      <c r="K282">
        <v>1</v>
      </c>
      <c r="L282">
        <v>3.8</v>
      </c>
      <c r="M282">
        <v>524899.56999999995</v>
      </c>
      <c r="N282">
        <v>63619.98</v>
      </c>
      <c r="O282">
        <f t="shared" si="24"/>
        <v>0</v>
      </c>
      <c r="P282">
        <f t="shared" si="25"/>
        <v>1</v>
      </c>
      <c r="Q282">
        <f t="shared" si="26"/>
        <v>0</v>
      </c>
      <c r="R282">
        <f t="shared" si="27"/>
        <v>0</v>
      </c>
      <c r="S282">
        <f t="shared" si="28"/>
        <v>1</v>
      </c>
      <c r="T282">
        <f t="shared" si="29"/>
        <v>0</v>
      </c>
    </row>
    <row r="283" spans="1:20">
      <c r="A283" t="s">
        <v>92</v>
      </c>
      <c r="B283" s="3">
        <v>45689</v>
      </c>
      <c r="C283" t="s">
        <v>24</v>
      </c>
      <c r="D283" t="s">
        <v>18</v>
      </c>
      <c r="E283">
        <v>34771.26</v>
      </c>
      <c r="F283">
        <v>4355</v>
      </c>
      <c r="G283">
        <v>5.0999999999999997E-2</v>
      </c>
      <c r="H283">
        <v>15</v>
      </c>
      <c r="I283">
        <v>87.9</v>
      </c>
      <c r="J283">
        <v>3.09</v>
      </c>
      <c r="K283">
        <v>0</v>
      </c>
      <c r="L283">
        <v>4</v>
      </c>
      <c r="M283">
        <v>555557.77</v>
      </c>
      <c r="N283">
        <v>86475.51</v>
      </c>
      <c r="O283">
        <f t="shared" si="24"/>
        <v>0</v>
      </c>
      <c r="P283">
        <f t="shared" si="25"/>
        <v>1</v>
      </c>
      <c r="Q283">
        <f t="shared" si="26"/>
        <v>0</v>
      </c>
      <c r="R283">
        <f t="shared" si="27"/>
        <v>0</v>
      </c>
      <c r="S283">
        <f t="shared" si="28"/>
        <v>1</v>
      </c>
      <c r="T283">
        <f t="shared" si="29"/>
        <v>0</v>
      </c>
    </row>
    <row r="284" spans="1:20">
      <c r="A284" t="s">
        <v>92</v>
      </c>
      <c r="B284" s="3">
        <v>45717</v>
      </c>
      <c r="C284" t="s">
        <v>24</v>
      </c>
      <c r="D284" t="s">
        <v>18</v>
      </c>
      <c r="E284">
        <v>66104.19</v>
      </c>
      <c r="F284">
        <v>5745</v>
      </c>
      <c r="G284">
        <v>7.0000000000000007E-2</v>
      </c>
      <c r="H284">
        <v>17</v>
      </c>
      <c r="I284">
        <v>95.8</v>
      </c>
      <c r="J284">
        <v>3.15</v>
      </c>
      <c r="K284">
        <v>0</v>
      </c>
      <c r="L284">
        <v>4</v>
      </c>
      <c r="M284">
        <v>714083.68</v>
      </c>
      <c r="N284">
        <v>127231.74</v>
      </c>
      <c r="O284">
        <f t="shared" si="24"/>
        <v>0</v>
      </c>
      <c r="P284">
        <f t="shared" si="25"/>
        <v>1</v>
      </c>
      <c r="Q284">
        <f t="shared" si="26"/>
        <v>0</v>
      </c>
      <c r="R284">
        <f t="shared" si="27"/>
        <v>0</v>
      </c>
      <c r="S284">
        <f t="shared" si="28"/>
        <v>1</v>
      </c>
      <c r="T284">
        <f t="shared" si="29"/>
        <v>0</v>
      </c>
    </row>
    <row r="285" spans="1:20">
      <c r="A285" t="s">
        <v>92</v>
      </c>
      <c r="B285" s="3">
        <v>45748</v>
      </c>
      <c r="C285" t="s">
        <v>24</v>
      </c>
      <c r="D285" t="s">
        <v>18</v>
      </c>
      <c r="E285">
        <v>18599.21</v>
      </c>
      <c r="F285">
        <v>3027</v>
      </c>
      <c r="G285">
        <v>0.122</v>
      </c>
      <c r="H285">
        <v>11</v>
      </c>
      <c r="I285">
        <v>80.900000000000006</v>
      </c>
      <c r="J285">
        <v>6.44</v>
      </c>
      <c r="K285">
        <v>0</v>
      </c>
      <c r="L285">
        <v>4.2</v>
      </c>
      <c r="M285">
        <v>497439.82</v>
      </c>
      <c r="N285">
        <v>93372.75</v>
      </c>
      <c r="O285">
        <f t="shared" si="24"/>
        <v>0</v>
      </c>
      <c r="P285">
        <f t="shared" si="25"/>
        <v>1</v>
      </c>
      <c r="Q285">
        <f t="shared" si="26"/>
        <v>0</v>
      </c>
      <c r="R285">
        <f t="shared" si="27"/>
        <v>0</v>
      </c>
      <c r="S285">
        <f t="shared" si="28"/>
        <v>1</v>
      </c>
      <c r="T285">
        <f t="shared" si="29"/>
        <v>0</v>
      </c>
    </row>
    <row r="286" spans="1:20">
      <c r="A286" t="s">
        <v>93</v>
      </c>
      <c r="B286" s="3">
        <v>45658</v>
      </c>
      <c r="C286" t="s">
        <v>27</v>
      </c>
      <c r="D286" t="s">
        <v>16</v>
      </c>
      <c r="E286">
        <v>60183.06</v>
      </c>
      <c r="F286">
        <v>5562</v>
      </c>
      <c r="G286">
        <v>8.9999999999999993E-3</v>
      </c>
      <c r="H286">
        <v>13</v>
      </c>
      <c r="I286">
        <v>86.3</v>
      </c>
      <c r="J286">
        <v>0.2</v>
      </c>
      <c r="K286">
        <v>1</v>
      </c>
      <c r="L286">
        <v>4.5</v>
      </c>
      <c r="M286">
        <v>636775.66</v>
      </c>
      <c r="N286">
        <v>122636.86</v>
      </c>
      <c r="O286">
        <f t="shared" si="24"/>
        <v>0</v>
      </c>
      <c r="P286">
        <f t="shared" si="25"/>
        <v>0</v>
      </c>
      <c r="Q286">
        <f t="shared" si="26"/>
        <v>0</v>
      </c>
      <c r="R286">
        <f t="shared" si="27"/>
        <v>0</v>
      </c>
      <c r="S286">
        <f t="shared" si="28"/>
        <v>0</v>
      </c>
      <c r="T286">
        <f t="shared" si="29"/>
        <v>0</v>
      </c>
    </row>
    <row r="287" spans="1:20">
      <c r="A287" t="s">
        <v>93</v>
      </c>
      <c r="B287" s="3">
        <v>45689</v>
      </c>
      <c r="C287" t="s">
        <v>27</v>
      </c>
      <c r="D287" t="s">
        <v>16</v>
      </c>
      <c r="E287">
        <v>74539.14</v>
      </c>
      <c r="F287">
        <v>4487</v>
      </c>
      <c r="G287">
        <v>0.14000000000000001</v>
      </c>
      <c r="H287">
        <v>10</v>
      </c>
      <c r="I287">
        <v>90.4</v>
      </c>
      <c r="J287">
        <v>0.59</v>
      </c>
      <c r="K287">
        <v>0</v>
      </c>
      <c r="L287">
        <v>4.5</v>
      </c>
      <c r="M287">
        <v>633009.53</v>
      </c>
      <c r="N287">
        <v>123782.67</v>
      </c>
      <c r="O287">
        <f t="shared" si="24"/>
        <v>0</v>
      </c>
      <c r="P287">
        <f t="shared" si="25"/>
        <v>0</v>
      </c>
      <c r="Q287">
        <f t="shared" si="26"/>
        <v>0</v>
      </c>
      <c r="R287">
        <f t="shared" si="27"/>
        <v>0</v>
      </c>
      <c r="S287">
        <f t="shared" si="28"/>
        <v>0</v>
      </c>
      <c r="T287">
        <f t="shared" si="29"/>
        <v>0</v>
      </c>
    </row>
    <row r="288" spans="1:20">
      <c r="A288" t="s">
        <v>93</v>
      </c>
      <c r="B288" s="3">
        <v>45717</v>
      </c>
      <c r="C288" t="s">
        <v>27</v>
      </c>
      <c r="D288" t="s">
        <v>16</v>
      </c>
      <c r="E288">
        <v>55371.97</v>
      </c>
      <c r="F288">
        <v>4162</v>
      </c>
      <c r="G288">
        <v>0.183</v>
      </c>
      <c r="H288">
        <v>11</v>
      </c>
      <c r="I288">
        <v>92</v>
      </c>
      <c r="J288">
        <v>0.2</v>
      </c>
      <c r="K288">
        <v>1</v>
      </c>
      <c r="L288">
        <v>4.2</v>
      </c>
      <c r="M288">
        <v>609949</v>
      </c>
      <c r="N288">
        <v>126789.25</v>
      </c>
      <c r="O288">
        <f t="shared" si="24"/>
        <v>0</v>
      </c>
      <c r="P288">
        <f t="shared" si="25"/>
        <v>0</v>
      </c>
      <c r="Q288">
        <f t="shared" si="26"/>
        <v>0</v>
      </c>
      <c r="R288">
        <f t="shared" si="27"/>
        <v>0</v>
      </c>
      <c r="S288">
        <f t="shared" si="28"/>
        <v>0</v>
      </c>
      <c r="T288">
        <f t="shared" si="29"/>
        <v>0</v>
      </c>
    </row>
    <row r="289" spans="1:20">
      <c r="A289" t="s">
        <v>93</v>
      </c>
      <c r="B289" s="3">
        <v>45748</v>
      </c>
      <c r="C289" t="s">
        <v>27</v>
      </c>
      <c r="D289" t="s">
        <v>16</v>
      </c>
      <c r="E289">
        <v>40928.69</v>
      </c>
      <c r="F289">
        <v>4094</v>
      </c>
      <c r="G289">
        <v>0.17399999999999999</v>
      </c>
      <c r="H289">
        <v>13</v>
      </c>
      <c r="I289">
        <v>82.4</v>
      </c>
      <c r="J289">
        <v>1.36</v>
      </c>
      <c r="K289">
        <v>0</v>
      </c>
      <c r="L289">
        <v>4.8</v>
      </c>
      <c r="M289">
        <v>548103.69999999995</v>
      </c>
      <c r="N289">
        <v>99905.52</v>
      </c>
      <c r="O289">
        <f t="shared" si="24"/>
        <v>0</v>
      </c>
      <c r="P289">
        <f t="shared" si="25"/>
        <v>0</v>
      </c>
      <c r="Q289">
        <f t="shared" si="26"/>
        <v>0</v>
      </c>
      <c r="R289">
        <f t="shared" si="27"/>
        <v>0</v>
      </c>
      <c r="S289">
        <f t="shared" si="28"/>
        <v>0</v>
      </c>
      <c r="T289">
        <f t="shared" si="29"/>
        <v>0</v>
      </c>
    </row>
    <row r="290" spans="1:20">
      <c r="A290" t="s">
        <v>94</v>
      </c>
      <c r="B290" s="3">
        <v>45658</v>
      </c>
      <c r="C290" t="s">
        <v>15</v>
      </c>
      <c r="D290" t="s">
        <v>16</v>
      </c>
      <c r="E290">
        <v>70012.41</v>
      </c>
      <c r="F290">
        <v>8484</v>
      </c>
      <c r="G290">
        <v>0.27300000000000002</v>
      </c>
      <c r="H290">
        <v>23</v>
      </c>
      <c r="I290">
        <v>72.900000000000006</v>
      </c>
      <c r="J290">
        <v>3.34</v>
      </c>
      <c r="K290">
        <v>0</v>
      </c>
      <c r="L290">
        <v>3.7</v>
      </c>
      <c r="M290">
        <v>729424.42</v>
      </c>
      <c r="N290">
        <v>75592.28</v>
      </c>
      <c r="O290">
        <f t="shared" si="24"/>
        <v>0</v>
      </c>
      <c r="P290">
        <f t="shared" si="25"/>
        <v>0</v>
      </c>
      <c r="Q290">
        <f t="shared" si="26"/>
        <v>1</v>
      </c>
      <c r="R290">
        <f t="shared" si="27"/>
        <v>0</v>
      </c>
      <c r="S290">
        <f t="shared" si="28"/>
        <v>0</v>
      </c>
      <c r="T290">
        <f t="shared" si="29"/>
        <v>0</v>
      </c>
    </row>
    <row r="291" spans="1:20">
      <c r="A291" t="s">
        <v>94</v>
      </c>
      <c r="B291" s="3">
        <v>45689</v>
      </c>
      <c r="C291" t="s">
        <v>15</v>
      </c>
      <c r="D291" t="s">
        <v>16</v>
      </c>
      <c r="E291">
        <v>68909.259999999995</v>
      </c>
      <c r="F291">
        <v>7794</v>
      </c>
      <c r="G291">
        <v>0.28399999999999997</v>
      </c>
      <c r="H291">
        <v>22</v>
      </c>
      <c r="I291">
        <v>89</v>
      </c>
      <c r="J291">
        <v>0.33</v>
      </c>
      <c r="K291">
        <v>0</v>
      </c>
      <c r="L291">
        <v>4</v>
      </c>
      <c r="M291">
        <v>696261.49</v>
      </c>
      <c r="N291">
        <v>72455.350000000006</v>
      </c>
      <c r="O291">
        <f t="shared" si="24"/>
        <v>0</v>
      </c>
      <c r="P291">
        <f t="shared" si="25"/>
        <v>0</v>
      </c>
      <c r="Q291">
        <f t="shared" si="26"/>
        <v>1</v>
      </c>
      <c r="R291">
        <f t="shared" si="27"/>
        <v>0</v>
      </c>
      <c r="S291">
        <f t="shared" si="28"/>
        <v>0</v>
      </c>
      <c r="T291">
        <f t="shared" si="29"/>
        <v>0</v>
      </c>
    </row>
    <row r="292" spans="1:20">
      <c r="A292" t="s">
        <v>94</v>
      </c>
      <c r="B292" s="3">
        <v>45717</v>
      </c>
      <c r="C292" t="s">
        <v>15</v>
      </c>
      <c r="D292" t="s">
        <v>16</v>
      </c>
      <c r="E292">
        <v>56737.3</v>
      </c>
      <c r="F292">
        <v>8300</v>
      </c>
      <c r="G292">
        <v>3.2000000000000001E-2</v>
      </c>
      <c r="H292">
        <v>21</v>
      </c>
      <c r="I292">
        <v>83.2</v>
      </c>
      <c r="J292">
        <v>3.44</v>
      </c>
      <c r="K292">
        <v>1</v>
      </c>
      <c r="L292">
        <v>4.3</v>
      </c>
      <c r="M292">
        <v>813316.71</v>
      </c>
      <c r="N292">
        <v>110077.42</v>
      </c>
      <c r="O292">
        <f t="shared" si="24"/>
        <v>0</v>
      </c>
      <c r="P292">
        <f t="shared" si="25"/>
        <v>0</v>
      </c>
      <c r="Q292">
        <f t="shared" si="26"/>
        <v>1</v>
      </c>
      <c r="R292">
        <f t="shared" si="27"/>
        <v>0</v>
      </c>
      <c r="S292">
        <f t="shared" si="28"/>
        <v>0</v>
      </c>
      <c r="T292">
        <f t="shared" si="29"/>
        <v>0</v>
      </c>
    </row>
    <row r="293" spans="1:20">
      <c r="A293" t="s">
        <v>94</v>
      </c>
      <c r="B293" s="3">
        <v>45748</v>
      </c>
      <c r="C293" t="s">
        <v>15</v>
      </c>
      <c r="D293" t="s">
        <v>16</v>
      </c>
      <c r="E293">
        <v>54080.91</v>
      </c>
      <c r="F293">
        <v>7083</v>
      </c>
      <c r="G293">
        <v>0</v>
      </c>
      <c r="H293">
        <v>15</v>
      </c>
      <c r="I293">
        <v>97</v>
      </c>
      <c r="J293">
        <v>5.33</v>
      </c>
      <c r="K293">
        <v>0</v>
      </c>
      <c r="L293">
        <v>4.0999999999999996</v>
      </c>
      <c r="M293">
        <v>702068.92</v>
      </c>
      <c r="N293">
        <v>111266.63</v>
      </c>
      <c r="O293">
        <f t="shared" si="24"/>
        <v>0</v>
      </c>
      <c r="P293">
        <f t="shared" si="25"/>
        <v>0</v>
      </c>
      <c r="Q293">
        <f t="shared" si="26"/>
        <v>1</v>
      </c>
      <c r="R293">
        <f t="shared" si="27"/>
        <v>0</v>
      </c>
      <c r="S293">
        <f t="shared" si="28"/>
        <v>0</v>
      </c>
      <c r="T293">
        <f t="shared" si="29"/>
        <v>0</v>
      </c>
    </row>
    <row r="294" spans="1:20">
      <c r="A294" t="s">
        <v>95</v>
      </c>
      <c r="B294" s="3">
        <v>45658</v>
      </c>
      <c r="C294" t="s">
        <v>27</v>
      </c>
      <c r="D294" t="s">
        <v>18</v>
      </c>
      <c r="E294">
        <v>51996.32</v>
      </c>
      <c r="F294">
        <v>3834</v>
      </c>
      <c r="G294">
        <v>9.6000000000000002E-2</v>
      </c>
      <c r="H294">
        <v>8</v>
      </c>
      <c r="I294">
        <v>86.7</v>
      </c>
      <c r="J294">
        <v>6.04</v>
      </c>
      <c r="K294">
        <v>0</v>
      </c>
      <c r="L294">
        <v>4.5</v>
      </c>
      <c r="M294">
        <v>546223.69999999995</v>
      </c>
      <c r="N294">
        <v>100769.17</v>
      </c>
      <c r="O294">
        <f t="shared" si="24"/>
        <v>0</v>
      </c>
      <c r="P294">
        <f t="shared" si="25"/>
        <v>0</v>
      </c>
      <c r="Q294">
        <f t="shared" si="26"/>
        <v>0</v>
      </c>
      <c r="R294">
        <f t="shared" si="27"/>
        <v>0</v>
      </c>
      <c r="S294">
        <f t="shared" si="28"/>
        <v>1</v>
      </c>
      <c r="T294">
        <f t="shared" si="29"/>
        <v>0</v>
      </c>
    </row>
    <row r="295" spans="1:20">
      <c r="A295" t="s">
        <v>95</v>
      </c>
      <c r="B295" s="3">
        <v>45689</v>
      </c>
      <c r="C295" t="s">
        <v>27</v>
      </c>
      <c r="D295" t="s">
        <v>18</v>
      </c>
      <c r="E295">
        <v>40102.879999999997</v>
      </c>
      <c r="F295">
        <v>2358</v>
      </c>
      <c r="G295">
        <v>0.11899999999999999</v>
      </c>
      <c r="H295">
        <v>9</v>
      </c>
      <c r="I295">
        <v>88.7</v>
      </c>
      <c r="J295">
        <v>1.6</v>
      </c>
      <c r="K295">
        <v>0</v>
      </c>
      <c r="L295">
        <v>4.2</v>
      </c>
      <c r="M295">
        <v>533121.26</v>
      </c>
      <c r="N295">
        <v>55063.39</v>
      </c>
      <c r="O295">
        <f t="shared" si="24"/>
        <v>0</v>
      </c>
      <c r="P295">
        <f t="shared" si="25"/>
        <v>0</v>
      </c>
      <c r="Q295">
        <f t="shared" si="26"/>
        <v>0</v>
      </c>
      <c r="R295">
        <f t="shared" si="27"/>
        <v>0</v>
      </c>
      <c r="S295">
        <f t="shared" si="28"/>
        <v>1</v>
      </c>
      <c r="T295">
        <f t="shared" si="29"/>
        <v>0</v>
      </c>
    </row>
    <row r="296" spans="1:20">
      <c r="A296" t="s">
        <v>95</v>
      </c>
      <c r="B296" s="3">
        <v>45717</v>
      </c>
      <c r="C296" t="s">
        <v>27</v>
      </c>
      <c r="D296" t="s">
        <v>18</v>
      </c>
      <c r="E296">
        <v>59825.51</v>
      </c>
      <c r="F296">
        <v>1231</v>
      </c>
      <c r="G296">
        <v>0.214</v>
      </c>
      <c r="H296">
        <v>10</v>
      </c>
      <c r="I296">
        <v>84.8</v>
      </c>
      <c r="J296">
        <v>8.9600000000000009</v>
      </c>
      <c r="K296">
        <v>0</v>
      </c>
      <c r="L296">
        <v>4.7</v>
      </c>
      <c r="M296">
        <v>498970.32</v>
      </c>
      <c r="N296">
        <v>69656.7</v>
      </c>
      <c r="O296">
        <f t="shared" si="24"/>
        <v>0</v>
      </c>
      <c r="P296">
        <f t="shared" si="25"/>
        <v>0</v>
      </c>
      <c r="Q296">
        <f t="shared" si="26"/>
        <v>0</v>
      </c>
      <c r="R296">
        <f t="shared" si="27"/>
        <v>0</v>
      </c>
      <c r="S296">
        <f t="shared" si="28"/>
        <v>1</v>
      </c>
      <c r="T296">
        <f t="shared" si="29"/>
        <v>0</v>
      </c>
    </row>
    <row r="297" spans="1:20">
      <c r="A297" t="s">
        <v>95</v>
      </c>
      <c r="B297" s="3">
        <v>45748</v>
      </c>
      <c r="C297" t="s">
        <v>27</v>
      </c>
      <c r="D297" t="s">
        <v>18</v>
      </c>
      <c r="E297">
        <v>27398.28</v>
      </c>
      <c r="F297">
        <v>1723</v>
      </c>
      <c r="G297">
        <v>0.17100000000000001</v>
      </c>
      <c r="H297">
        <v>9</v>
      </c>
      <c r="I297">
        <v>81</v>
      </c>
      <c r="J297">
        <v>0.74</v>
      </c>
      <c r="K297">
        <v>0</v>
      </c>
      <c r="L297">
        <v>4.5999999999999996</v>
      </c>
      <c r="M297">
        <v>487738.26</v>
      </c>
      <c r="N297">
        <v>96435.6</v>
      </c>
      <c r="O297">
        <f t="shared" si="24"/>
        <v>0</v>
      </c>
      <c r="P297">
        <f t="shared" si="25"/>
        <v>0</v>
      </c>
      <c r="Q297">
        <f t="shared" si="26"/>
        <v>0</v>
      </c>
      <c r="R297">
        <f t="shared" si="27"/>
        <v>0</v>
      </c>
      <c r="S297">
        <f t="shared" si="28"/>
        <v>1</v>
      </c>
      <c r="T297">
        <f t="shared" si="29"/>
        <v>0</v>
      </c>
    </row>
    <row r="298" spans="1:20">
      <c r="A298" t="s">
        <v>96</v>
      </c>
      <c r="B298" s="3">
        <v>45658</v>
      </c>
      <c r="C298" t="s">
        <v>27</v>
      </c>
      <c r="D298" t="s">
        <v>18</v>
      </c>
      <c r="E298">
        <v>55599.56</v>
      </c>
      <c r="F298">
        <v>5896</v>
      </c>
      <c r="G298">
        <v>3.5999999999999997E-2</v>
      </c>
      <c r="H298">
        <v>12</v>
      </c>
      <c r="I298">
        <v>93.1</v>
      </c>
      <c r="J298">
        <v>6.13</v>
      </c>
      <c r="K298">
        <v>0</v>
      </c>
      <c r="L298">
        <v>3.3</v>
      </c>
      <c r="M298">
        <v>668459.37</v>
      </c>
      <c r="N298">
        <v>126435.42</v>
      </c>
      <c r="O298">
        <f t="shared" si="24"/>
        <v>0</v>
      </c>
      <c r="P298">
        <f t="shared" si="25"/>
        <v>0</v>
      </c>
      <c r="Q298">
        <f t="shared" si="26"/>
        <v>0</v>
      </c>
      <c r="R298">
        <f t="shared" si="27"/>
        <v>0</v>
      </c>
      <c r="S298">
        <f t="shared" si="28"/>
        <v>1</v>
      </c>
      <c r="T298">
        <f t="shared" si="29"/>
        <v>0</v>
      </c>
    </row>
    <row r="299" spans="1:20">
      <c r="A299" t="s">
        <v>96</v>
      </c>
      <c r="B299" s="3">
        <v>45689</v>
      </c>
      <c r="C299" t="s">
        <v>27</v>
      </c>
      <c r="D299" t="s">
        <v>18</v>
      </c>
      <c r="E299">
        <v>55477.61</v>
      </c>
      <c r="F299">
        <v>5903</v>
      </c>
      <c r="G299">
        <v>0.10199999999999999</v>
      </c>
      <c r="H299">
        <v>14</v>
      </c>
      <c r="I299">
        <v>96.2</v>
      </c>
      <c r="J299">
        <v>1.41</v>
      </c>
      <c r="K299">
        <v>0</v>
      </c>
      <c r="L299">
        <v>3.3</v>
      </c>
      <c r="M299">
        <v>763162.45</v>
      </c>
      <c r="N299">
        <v>162524.04999999999</v>
      </c>
      <c r="O299">
        <f t="shared" si="24"/>
        <v>0</v>
      </c>
      <c r="P299">
        <f t="shared" si="25"/>
        <v>0</v>
      </c>
      <c r="Q299">
        <f t="shared" si="26"/>
        <v>0</v>
      </c>
      <c r="R299">
        <f t="shared" si="27"/>
        <v>0</v>
      </c>
      <c r="S299">
        <f t="shared" si="28"/>
        <v>1</v>
      </c>
      <c r="T299">
        <f t="shared" si="29"/>
        <v>0</v>
      </c>
    </row>
    <row r="300" spans="1:20">
      <c r="A300" t="s">
        <v>96</v>
      </c>
      <c r="B300" s="3">
        <v>45717</v>
      </c>
      <c r="C300" t="s">
        <v>27</v>
      </c>
      <c r="D300" t="s">
        <v>18</v>
      </c>
      <c r="E300">
        <v>46174.7</v>
      </c>
      <c r="F300">
        <v>4898</v>
      </c>
      <c r="G300">
        <v>0.114</v>
      </c>
      <c r="H300">
        <v>11</v>
      </c>
      <c r="I300">
        <v>91.7</v>
      </c>
      <c r="J300">
        <v>3.75</v>
      </c>
      <c r="K300">
        <v>0</v>
      </c>
      <c r="L300">
        <v>3.1</v>
      </c>
      <c r="M300">
        <v>599017.32999999996</v>
      </c>
      <c r="N300">
        <v>134009.92000000001</v>
      </c>
      <c r="O300">
        <f t="shared" si="24"/>
        <v>0</v>
      </c>
      <c r="P300">
        <f t="shared" si="25"/>
        <v>0</v>
      </c>
      <c r="Q300">
        <f t="shared" si="26"/>
        <v>0</v>
      </c>
      <c r="R300">
        <f t="shared" si="27"/>
        <v>0</v>
      </c>
      <c r="S300">
        <f t="shared" si="28"/>
        <v>1</v>
      </c>
      <c r="T300">
        <f t="shared" si="29"/>
        <v>0</v>
      </c>
    </row>
    <row r="301" spans="1:20">
      <c r="A301" t="s">
        <v>96</v>
      </c>
      <c r="B301" s="3">
        <v>45748</v>
      </c>
      <c r="C301" t="s">
        <v>27</v>
      </c>
      <c r="D301" t="s">
        <v>18</v>
      </c>
      <c r="E301">
        <v>24362.98</v>
      </c>
      <c r="F301">
        <v>1462</v>
      </c>
      <c r="G301">
        <v>0.11700000000000001</v>
      </c>
      <c r="H301">
        <v>6</v>
      </c>
      <c r="I301">
        <v>89.3</v>
      </c>
      <c r="J301">
        <v>15.06</v>
      </c>
      <c r="K301">
        <v>0</v>
      </c>
      <c r="L301">
        <v>3.2</v>
      </c>
      <c r="M301">
        <v>401582.58</v>
      </c>
      <c r="N301">
        <v>68454.929999999993</v>
      </c>
      <c r="O301">
        <f t="shared" si="24"/>
        <v>0</v>
      </c>
      <c r="P301">
        <f t="shared" si="25"/>
        <v>0</v>
      </c>
      <c r="Q301">
        <f t="shared" si="26"/>
        <v>0</v>
      </c>
      <c r="R301">
        <f t="shared" si="27"/>
        <v>0</v>
      </c>
      <c r="S301">
        <f t="shared" si="28"/>
        <v>1</v>
      </c>
      <c r="T301">
        <f t="shared" si="29"/>
        <v>0</v>
      </c>
    </row>
    <row r="302" spans="1:20">
      <c r="A302" t="s">
        <v>97</v>
      </c>
      <c r="B302" s="3">
        <v>45658</v>
      </c>
      <c r="C302" t="s">
        <v>20</v>
      </c>
      <c r="D302" t="s">
        <v>28</v>
      </c>
      <c r="E302">
        <v>40647.67</v>
      </c>
      <c r="F302">
        <v>8252</v>
      </c>
      <c r="G302">
        <v>0.14099999999999999</v>
      </c>
      <c r="H302">
        <v>22</v>
      </c>
      <c r="I302">
        <v>88.2</v>
      </c>
      <c r="J302">
        <v>5.07</v>
      </c>
      <c r="K302">
        <v>1</v>
      </c>
      <c r="L302">
        <v>4.0999999999999996</v>
      </c>
      <c r="M302">
        <v>703812.99</v>
      </c>
      <c r="N302">
        <v>133577.98000000001</v>
      </c>
      <c r="O302">
        <f t="shared" si="24"/>
        <v>1</v>
      </c>
      <c r="P302">
        <f t="shared" si="25"/>
        <v>0</v>
      </c>
      <c r="Q302">
        <f t="shared" si="26"/>
        <v>0</v>
      </c>
      <c r="R302">
        <f t="shared" si="27"/>
        <v>0</v>
      </c>
      <c r="S302">
        <f t="shared" si="28"/>
        <v>0</v>
      </c>
      <c r="T302">
        <f t="shared" si="29"/>
        <v>1</v>
      </c>
    </row>
    <row r="303" spans="1:20">
      <c r="A303" t="s">
        <v>97</v>
      </c>
      <c r="B303" s="3">
        <v>45689</v>
      </c>
      <c r="C303" t="s">
        <v>20</v>
      </c>
      <c r="D303" t="s">
        <v>28</v>
      </c>
      <c r="E303">
        <v>63986.98</v>
      </c>
      <c r="F303">
        <v>7989</v>
      </c>
      <c r="G303">
        <v>7.3999999999999996E-2</v>
      </c>
      <c r="H303">
        <v>20</v>
      </c>
      <c r="I303">
        <v>83.3</v>
      </c>
      <c r="J303">
        <v>3.6</v>
      </c>
      <c r="K303">
        <v>0</v>
      </c>
      <c r="L303">
        <v>3.7</v>
      </c>
      <c r="M303">
        <v>724346.73</v>
      </c>
      <c r="N303">
        <v>155013.91</v>
      </c>
      <c r="O303">
        <f t="shared" si="24"/>
        <v>1</v>
      </c>
      <c r="P303">
        <f t="shared" si="25"/>
        <v>0</v>
      </c>
      <c r="Q303">
        <f t="shared" si="26"/>
        <v>0</v>
      </c>
      <c r="R303">
        <f t="shared" si="27"/>
        <v>0</v>
      </c>
      <c r="S303">
        <f t="shared" si="28"/>
        <v>0</v>
      </c>
      <c r="T303">
        <f t="shared" si="29"/>
        <v>1</v>
      </c>
    </row>
    <row r="304" spans="1:20">
      <c r="A304" t="s">
        <v>97</v>
      </c>
      <c r="B304" s="3">
        <v>45717</v>
      </c>
      <c r="C304" t="s">
        <v>20</v>
      </c>
      <c r="D304" t="s">
        <v>28</v>
      </c>
      <c r="E304">
        <v>52843.75</v>
      </c>
      <c r="F304">
        <v>8268</v>
      </c>
      <c r="G304">
        <v>0.13800000000000001</v>
      </c>
      <c r="H304">
        <v>19</v>
      </c>
      <c r="I304">
        <v>87.3</v>
      </c>
      <c r="J304">
        <v>4.3899999999999997</v>
      </c>
      <c r="K304">
        <v>1</v>
      </c>
      <c r="L304">
        <v>4.7</v>
      </c>
      <c r="M304">
        <v>730890.01</v>
      </c>
      <c r="N304">
        <v>105502.56</v>
      </c>
      <c r="O304">
        <f t="shared" si="24"/>
        <v>1</v>
      </c>
      <c r="P304">
        <f t="shared" si="25"/>
        <v>0</v>
      </c>
      <c r="Q304">
        <f t="shared" si="26"/>
        <v>0</v>
      </c>
      <c r="R304">
        <f t="shared" si="27"/>
        <v>0</v>
      </c>
      <c r="S304">
        <f t="shared" si="28"/>
        <v>0</v>
      </c>
      <c r="T304">
        <f t="shared" si="29"/>
        <v>1</v>
      </c>
    </row>
    <row r="305" spans="1:20">
      <c r="A305" t="s">
        <v>97</v>
      </c>
      <c r="B305" s="3">
        <v>45748</v>
      </c>
      <c r="C305" t="s">
        <v>20</v>
      </c>
      <c r="D305" t="s">
        <v>28</v>
      </c>
      <c r="E305">
        <v>31997.25</v>
      </c>
      <c r="F305">
        <v>8183</v>
      </c>
      <c r="G305">
        <v>0.19800000000000001</v>
      </c>
      <c r="H305">
        <v>18</v>
      </c>
      <c r="I305">
        <v>93</v>
      </c>
      <c r="J305">
        <v>2.79</v>
      </c>
      <c r="K305">
        <v>0</v>
      </c>
      <c r="L305">
        <v>4.2</v>
      </c>
      <c r="M305">
        <v>780580.95</v>
      </c>
      <c r="N305">
        <v>138144.46</v>
      </c>
      <c r="O305">
        <f t="shared" si="24"/>
        <v>1</v>
      </c>
      <c r="P305">
        <f t="shared" si="25"/>
        <v>0</v>
      </c>
      <c r="Q305">
        <f t="shared" si="26"/>
        <v>0</v>
      </c>
      <c r="R305">
        <f t="shared" si="27"/>
        <v>0</v>
      </c>
      <c r="S305">
        <f t="shared" si="28"/>
        <v>0</v>
      </c>
      <c r="T305">
        <f t="shared" si="29"/>
        <v>1</v>
      </c>
    </row>
    <row r="306" spans="1:20">
      <c r="A306" t="s">
        <v>98</v>
      </c>
      <c r="B306" s="3">
        <v>45658</v>
      </c>
      <c r="C306" t="s">
        <v>24</v>
      </c>
      <c r="D306" t="s">
        <v>16</v>
      </c>
      <c r="E306">
        <v>54948.02</v>
      </c>
      <c r="F306">
        <v>6534</v>
      </c>
      <c r="G306">
        <v>0.183</v>
      </c>
      <c r="H306">
        <v>14</v>
      </c>
      <c r="I306">
        <v>94.5</v>
      </c>
      <c r="J306">
        <v>1.56</v>
      </c>
      <c r="K306">
        <v>0</v>
      </c>
      <c r="L306">
        <v>4</v>
      </c>
      <c r="M306">
        <v>727957.48</v>
      </c>
      <c r="N306">
        <v>74805.23</v>
      </c>
      <c r="O306">
        <f t="shared" si="24"/>
        <v>0</v>
      </c>
      <c r="P306">
        <f t="shared" si="25"/>
        <v>1</v>
      </c>
      <c r="Q306">
        <f t="shared" si="26"/>
        <v>0</v>
      </c>
      <c r="R306">
        <f t="shared" si="27"/>
        <v>0</v>
      </c>
      <c r="S306">
        <f t="shared" si="28"/>
        <v>0</v>
      </c>
      <c r="T306">
        <f t="shared" si="29"/>
        <v>0</v>
      </c>
    </row>
    <row r="307" spans="1:20">
      <c r="A307" t="s">
        <v>98</v>
      </c>
      <c r="B307" s="3">
        <v>45689</v>
      </c>
      <c r="C307" t="s">
        <v>24</v>
      </c>
      <c r="D307" t="s">
        <v>16</v>
      </c>
      <c r="E307">
        <v>46146.239999999998</v>
      </c>
      <c r="F307">
        <v>5804</v>
      </c>
      <c r="G307">
        <v>4.7E-2</v>
      </c>
      <c r="H307">
        <v>16</v>
      </c>
      <c r="I307">
        <v>86.9</v>
      </c>
      <c r="J307">
        <v>15.82</v>
      </c>
      <c r="K307">
        <v>0</v>
      </c>
      <c r="L307">
        <v>3.8</v>
      </c>
      <c r="M307">
        <v>538376</v>
      </c>
      <c r="N307">
        <v>87605.62</v>
      </c>
      <c r="O307">
        <f t="shared" si="24"/>
        <v>0</v>
      </c>
      <c r="P307">
        <f t="shared" si="25"/>
        <v>1</v>
      </c>
      <c r="Q307">
        <f t="shared" si="26"/>
        <v>0</v>
      </c>
      <c r="R307">
        <f t="shared" si="27"/>
        <v>0</v>
      </c>
      <c r="S307">
        <f t="shared" si="28"/>
        <v>0</v>
      </c>
      <c r="T307">
        <f t="shared" si="29"/>
        <v>0</v>
      </c>
    </row>
    <row r="308" spans="1:20">
      <c r="A308" t="s">
        <v>98</v>
      </c>
      <c r="B308" s="3">
        <v>45717</v>
      </c>
      <c r="C308" t="s">
        <v>24</v>
      </c>
      <c r="D308" t="s">
        <v>16</v>
      </c>
      <c r="E308">
        <v>22387.26</v>
      </c>
      <c r="F308">
        <v>6301</v>
      </c>
      <c r="G308">
        <v>0.14599999999999999</v>
      </c>
      <c r="H308">
        <v>14</v>
      </c>
      <c r="I308">
        <v>85.9</v>
      </c>
      <c r="J308">
        <v>1.17</v>
      </c>
      <c r="K308">
        <v>1</v>
      </c>
      <c r="L308">
        <v>3.7</v>
      </c>
      <c r="M308">
        <v>665342.49</v>
      </c>
      <c r="N308">
        <v>93441.81</v>
      </c>
      <c r="O308">
        <f t="shared" si="24"/>
        <v>0</v>
      </c>
      <c r="P308">
        <f t="shared" si="25"/>
        <v>1</v>
      </c>
      <c r="Q308">
        <f t="shared" si="26"/>
        <v>0</v>
      </c>
      <c r="R308">
        <f t="shared" si="27"/>
        <v>0</v>
      </c>
      <c r="S308">
        <f t="shared" si="28"/>
        <v>0</v>
      </c>
      <c r="T308">
        <f t="shared" si="29"/>
        <v>0</v>
      </c>
    </row>
    <row r="309" spans="1:20">
      <c r="A309" t="s">
        <v>98</v>
      </c>
      <c r="B309" s="3">
        <v>45748</v>
      </c>
      <c r="C309" t="s">
        <v>24</v>
      </c>
      <c r="D309" t="s">
        <v>16</v>
      </c>
      <c r="E309">
        <v>60684.05</v>
      </c>
      <c r="F309">
        <v>6399</v>
      </c>
      <c r="G309">
        <v>7.4999999999999997E-2</v>
      </c>
      <c r="H309">
        <v>16</v>
      </c>
      <c r="I309">
        <v>99</v>
      </c>
      <c r="J309">
        <v>3.82</v>
      </c>
      <c r="K309">
        <v>0</v>
      </c>
      <c r="L309">
        <v>3.5</v>
      </c>
      <c r="M309">
        <v>651164.18000000005</v>
      </c>
      <c r="N309">
        <v>109466.5</v>
      </c>
      <c r="O309">
        <f t="shared" si="24"/>
        <v>0</v>
      </c>
      <c r="P309">
        <f t="shared" si="25"/>
        <v>1</v>
      </c>
      <c r="Q309">
        <f t="shared" si="26"/>
        <v>0</v>
      </c>
      <c r="R309">
        <f t="shared" si="27"/>
        <v>0</v>
      </c>
      <c r="S309">
        <f t="shared" si="28"/>
        <v>0</v>
      </c>
      <c r="T309">
        <f t="shared" si="29"/>
        <v>0</v>
      </c>
    </row>
    <row r="310" spans="1:20">
      <c r="A310" t="s">
        <v>99</v>
      </c>
      <c r="B310" s="3">
        <v>45658</v>
      </c>
      <c r="C310" t="s">
        <v>24</v>
      </c>
      <c r="D310" t="s">
        <v>18</v>
      </c>
      <c r="E310">
        <v>48465.599999999999</v>
      </c>
      <c r="F310">
        <v>5759</v>
      </c>
      <c r="G310">
        <v>0.154</v>
      </c>
      <c r="H310">
        <v>13</v>
      </c>
      <c r="I310">
        <v>87.5</v>
      </c>
      <c r="J310">
        <v>4.1399999999999997</v>
      </c>
      <c r="K310">
        <v>0</v>
      </c>
      <c r="L310">
        <v>4</v>
      </c>
      <c r="M310">
        <v>628538.30000000005</v>
      </c>
      <c r="N310">
        <v>112509.15</v>
      </c>
      <c r="O310">
        <f t="shared" si="24"/>
        <v>0</v>
      </c>
      <c r="P310">
        <f t="shared" si="25"/>
        <v>1</v>
      </c>
      <c r="Q310">
        <f t="shared" si="26"/>
        <v>0</v>
      </c>
      <c r="R310">
        <f t="shared" si="27"/>
        <v>0</v>
      </c>
      <c r="S310">
        <f t="shared" si="28"/>
        <v>1</v>
      </c>
      <c r="T310">
        <f t="shared" si="29"/>
        <v>0</v>
      </c>
    </row>
    <row r="311" spans="1:20">
      <c r="A311" t="s">
        <v>99</v>
      </c>
      <c r="B311" s="3">
        <v>45689</v>
      </c>
      <c r="C311" t="s">
        <v>24</v>
      </c>
      <c r="D311" t="s">
        <v>18</v>
      </c>
      <c r="E311">
        <v>23702.38</v>
      </c>
      <c r="F311">
        <v>5285</v>
      </c>
      <c r="G311">
        <v>0.16700000000000001</v>
      </c>
      <c r="H311">
        <v>14</v>
      </c>
      <c r="I311">
        <v>79.7</v>
      </c>
      <c r="J311">
        <v>1.1000000000000001</v>
      </c>
      <c r="K311">
        <v>0</v>
      </c>
      <c r="L311">
        <v>4.3</v>
      </c>
      <c r="M311">
        <v>536524.84</v>
      </c>
      <c r="N311">
        <v>92752.94</v>
      </c>
      <c r="O311">
        <f t="shared" si="24"/>
        <v>0</v>
      </c>
      <c r="P311">
        <f t="shared" si="25"/>
        <v>1</v>
      </c>
      <c r="Q311">
        <f t="shared" si="26"/>
        <v>0</v>
      </c>
      <c r="R311">
        <f t="shared" si="27"/>
        <v>0</v>
      </c>
      <c r="S311">
        <f t="shared" si="28"/>
        <v>1</v>
      </c>
      <c r="T311">
        <f t="shared" si="29"/>
        <v>0</v>
      </c>
    </row>
    <row r="312" spans="1:20">
      <c r="A312" t="s">
        <v>99</v>
      </c>
      <c r="B312" s="3">
        <v>45717</v>
      </c>
      <c r="C312" t="s">
        <v>24</v>
      </c>
      <c r="D312" t="s">
        <v>18</v>
      </c>
      <c r="E312">
        <v>54322.94</v>
      </c>
      <c r="F312">
        <v>5434</v>
      </c>
      <c r="G312">
        <v>0.2</v>
      </c>
      <c r="H312">
        <v>13</v>
      </c>
      <c r="I312">
        <v>85.7</v>
      </c>
      <c r="J312">
        <v>10.6</v>
      </c>
      <c r="K312">
        <v>0</v>
      </c>
      <c r="L312">
        <v>4.2</v>
      </c>
      <c r="M312">
        <v>621677.30000000005</v>
      </c>
      <c r="N312">
        <v>105192.52</v>
      </c>
      <c r="O312">
        <f t="shared" si="24"/>
        <v>0</v>
      </c>
      <c r="P312">
        <f t="shared" si="25"/>
        <v>1</v>
      </c>
      <c r="Q312">
        <f t="shared" si="26"/>
        <v>0</v>
      </c>
      <c r="R312">
        <f t="shared" si="27"/>
        <v>0</v>
      </c>
      <c r="S312">
        <f t="shared" si="28"/>
        <v>1</v>
      </c>
      <c r="T312">
        <f t="shared" si="29"/>
        <v>0</v>
      </c>
    </row>
    <row r="313" spans="1:20">
      <c r="A313" t="s">
        <v>99</v>
      </c>
      <c r="B313" s="3">
        <v>45748</v>
      </c>
      <c r="C313" t="s">
        <v>24</v>
      </c>
      <c r="D313" t="s">
        <v>18</v>
      </c>
      <c r="E313">
        <v>86026.58</v>
      </c>
      <c r="F313">
        <v>7479</v>
      </c>
      <c r="G313">
        <v>0.14199999999999999</v>
      </c>
      <c r="H313">
        <v>20</v>
      </c>
      <c r="I313">
        <v>89</v>
      </c>
      <c r="J313">
        <v>0.9</v>
      </c>
      <c r="K313">
        <v>0</v>
      </c>
      <c r="L313" s="6">
        <v>3.92</v>
      </c>
      <c r="M313">
        <v>771129.07</v>
      </c>
      <c r="N313">
        <v>116851.13</v>
      </c>
      <c r="O313">
        <f t="shared" si="24"/>
        <v>0</v>
      </c>
      <c r="P313">
        <f t="shared" si="25"/>
        <v>1</v>
      </c>
      <c r="Q313">
        <f t="shared" si="26"/>
        <v>0</v>
      </c>
      <c r="R313">
        <f t="shared" si="27"/>
        <v>0</v>
      </c>
      <c r="S313">
        <f t="shared" si="28"/>
        <v>1</v>
      </c>
      <c r="T313">
        <f t="shared" si="29"/>
        <v>0</v>
      </c>
    </row>
    <row r="314" spans="1:20">
      <c r="A314" t="s">
        <v>100</v>
      </c>
      <c r="B314" s="3">
        <v>45658</v>
      </c>
      <c r="C314" t="s">
        <v>20</v>
      </c>
      <c r="D314" t="s">
        <v>16</v>
      </c>
      <c r="E314">
        <v>78967.520000000004</v>
      </c>
      <c r="F314">
        <v>6164</v>
      </c>
      <c r="G314">
        <v>2.1000000000000001E-2</v>
      </c>
      <c r="H314">
        <v>16</v>
      </c>
      <c r="I314">
        <v>85.5</v>
      </c>
      <c r="J314">
        <v>0.2</v>
      </c>
      <c r="K314">
        <v>0</v>
      </c>
      <c r="L314">
        <v>3.4</v>
      </c>
      <c r="M314">
        <v>702052.47</v>
      </c>
      <c r="N314">
        <v>121732.51</v>
      </c>
      <c r="O314">
        <f t="shared" si="24"/>
        <v>1</v>
      </c>
      <c r="P314">
        <f t="shared" si="25"/>
        <v>0</v>
      </c>
      <c r="Q314">
        <f t="shared" si="26"/>
        <v>0</v>
      </c>
      <c r="R314">
        <f t="shared" si="27"/>
        <v>0</v>
      </c>
      <c r="S314">
        <f t="shared" si="28"/>
        <v>0</v>
      </c>
      <c r="T314">
        <f t="shared" si="29"/>
        <v>0</v>
      </c>
    </row>
    <row r="315" spans="1:20">
      <c r="A315" t="s">
        <v>100</v>
      </c>
      <c r="B315" s="3">
        <v>45689</v>
      </c>
      <c r="C315" t="s">
        <v>20</v>
      </c>
      <c r="D315" t="s">
        <v>16</v>
      </c>
      <c r="E315">
        <v>46767.99</v>
      </c>
      <c r="F315">
        <v>7973</v>
      </c>
      <c r="G315">
        <v>0.183</v>
      </c>
      <c r="H315">
        <v>18</v>
      </c>
      <c r="I315">
        <v>94.8</v>
      </c>
      <c r="J315">
        <v>4.67</v>
      </c>
      <c r="K315">
        <v>0</v>
      </c>
      <c r="L315" s="6">
        <v>3.92</v>
      </c>
      <c r="M315">
        <v>688368.46</v>
      </c>
      <c r="N315">
        <v>93588.42</v>
      </c>
      <c r="O315">
        <f t="shared" si="24"/>
        <v>1</v>
      </c>
      <c r="P315">
        <f t="shared" si="25"/>
        <v>0</v>
      </c>
      <c r="Q315">
        <f t="shared" si="26"/>
        <v>0</v>
      </c>
      <c r="R315">
        <f t="shared" si="27"/>
        <v>0</v>
      </c>
      <c r="S315">
        <f t="shared" si="28"/>
        <v>0</v>
      </c>
      <c r="T315">
        <f t="shared" si="29"/>
        <v>0</v>
      </c>
    </row>
    <row r="316" spans="1:20">
      <c r="A316" t="s">
        <v>100</v>
      </c>
      <c r="B316" s="3">
        <v>45717</v>
      </c>
      <c r="C316" t="s">
        <v>20</v>
      </c>
      <c r="D316" t="s">
        <v>16</v>
      </c>
      <c r="E316">
        <v>62507.16</v>
      </c>
      <c r="F316">
        <v>6000</v>
      </c>
      <c r="G316">
        <v>9.0999999999999998E-2</v>
      </c>
      <c r="H316">
        <v>14</v>
      </c>
      <c r="I316">
        <v>98.2</v>
      </c>
      <c r="J316">
        <v>4.38</v>
      </c>
      <c r="K316">
        <v>1</v>
      </c>
      <c r="L316">
        <v>3.9</v>
      </c>
      <c r="M316">
        <v>712375.77</v>
      </c>
      <c r="N316">
        <v>104171.53</v>
      </c>
      <c r="O316">
        <f t="shared" si="24"/>
        <v>1</v>
      </c>
      <c r="P316">
        <f t="shared" si="25"/>
        <v>0</v>
      </c>
      <c r="Q316">
        <f t="shared" si="26"/>
        <v>0</v>
      </c>
      <c r="R316">
        <f t="shared" si="27"/>
        <v>0</v>
      </c>
      <c r="S316">
        <f t="shared" si="28"/>
        <v>0</v>
      </c>
      <c r="T316">
        <f t="shared" si="29"/>
        <v>0</v>
      </c>
    </row>
    <row r="317" spans="1:20">
      <c r="A317" t="s">
        <v>100</v>
      </c>
      <c r="B317" s="3">
        <v>45748</v>
      </c>
      <c r="C317" t="s">
        <v>20</v>
      </c>
      <c r="D317" t="s">
        <v>16</v>
      </c>
      <c r="E317">
        <v>66456.28</v>
      </c>
      <c r="F317">
        <v>9967</v>
      </c>
      <c r="G317">
        <v>0.108</v>
      </c>
      <c r="H317">
        <v>20</v>
      </c>
      <c r="I317">
        <v>94.7</v>
      </c>
      <c r="J317">
        <v>4.4800000000000004</v>
      </c>
      <c r="K317">
        <v>0</v>
      </c>
      <c r="L317">
        <v>4.2</v>
      </c>
      <c r="M317">
        <v>844710.67</v>
      </c>
      <c r="N317">
        <v>137140.18</v>
      </c>
      <c r="O317">
        <f t="shared" si="24"/>
        <v>1</v>
      </c>
      <c r="P317">
        <f t="shared" si="25"/>
        <v>0</v>
      </c>
      <c r="Q317">
        <f t="shared" si="26"/>
        <v>0</v>
      </c>
      <c r="R317">
        <f t="shared" si="27"/>
        <v>0</v>
      </c>
      <c r="S317">
        <f t="shared" si="28"/>
        <v>0</v>
      </c>
      <c r="T317">
        <f t="shared" si="29"/>
        <v>0</v>
      </c>
    </row>
    <row r="318" spans="1:20">
      <c r="A318" t="s">
        <v>101</v>
      </c>
      <c r="B318" s="3">
        <v>45658</v>
      </c>
      <c r="C318" t="s">
        <v>15</v>
      </c>
      <c r="D318" t="s">
        <v>16</v>
      </c>
      <c r="E318">
        <v>76614.320000000007</v>
      </c>
      <c r="F318">
        <v>5639</v>
      </c>
      <c r="G318">
        <v>0.17399999999999999</v>
      </c>
      <c r="H318">
        <v>15</v>
      </c>
      <c r="I318">
        <v>92.9</v>
      </c>
      <c r="J318">
        <v>1.02</v>
      </c>
      <c r="K318">
        <v>1</v>
      </c>
      <c r="L318">
        <v>4</v>
      </c>
      <c r="M318">
        <v>620264.19999999995</v>
      </c>
      <c r="N318">
        <v>91365.64</v>
      </c>
      <c r="O318">
        <f t="shared" si="24"/>
        <v>0</v>
      </c>
      <c r="P318">
        <f t="shared" si="25"/>
        <v>0</v>
      </c>
      <c r="Q318">
        <f t="shared" si="26"/>
        <v>1</v>
      </c>
      <c r="R318">
        <f t="shared" si="27"/>
        <v>0</v>
      </c>
      <c r="S318">
        <f t="shared" si="28"/>
        <v>0</v>
      </c>
      <c r="T318">
        <f t="shared" si="29"/>
        <v>0</v>
      </c>
    </row>
    <row r="319" spans="1:20">
      <c r="A319" t="s">
        <v>101</v>
      </c>
      <c r="B319" s="3">
        <v>45689</v>
      </c>
      <c r="C319" t="s">
        <v>15</v>
      </c>
      <c r="D319" t="s">
        <v>16</v>
      </c>
      <c r="E319">
        <v>24088.06</v>
      </c>
      <c r="F319">
        <v>3466</v>
      </c>
      <c r="G319">
        <v>0</v>
      </c>
      <c r="H319">
        <v>11</v>
      </c>
      <c r="I319">
        <v>88</v>
      </c>
      <c r="J319">
        <v>0.2</v>
      </c>
      <c r="K319">
        <v>0</v>
      </c>
      <c r="L319">
        <v>3.8</v>
      </c>
      <c r="M319">
        <v>536845.42000000004</v>
      </c>
      <c r="N319">
        <v>107473.75</v>
      </c>
      <c r="O319">
        <f t="shared" si="24"/>
        <v>0</v>
      </c>
      <c r="P319">
        <f t="shared" si="25"/>
        <v>0</v>
      </c>
      <c r="Q319">
        <f t="shared" si="26"/>
        <v>1</v>
      </c>
      <c r="R319">
        <f t="shared" si="27"/>
        <v>0</v>
      </c>
      <c r="S319">
        <f t="shared" si="28"/>
        <v>0</v>
      </c>
      <c r="T319">
        <f t="shared" si="29"/>
        <v>0</v>
      </c>
    </row>
    <row r="320" spans="1:20">
      <c r="A320" t="s">
        <v>101</v>
      </c>
      <c r="B320" s="3">
        <v>45717</v>
      </c>
      <c r="C320" t="s">
        <v>15</v>
      </c>
      <c r="D320" t="s">
        <v>16</v>
      </c>
      <c r="E320">
        <v>81902.58</v>
      </c>
      <c r="F320">
        <v>7775</v>
      </c>
      <c r="G320">
        <v>0.215</v>
      </c>
      <c r="H320">
        <v>20</v>
      </c>
      <c r="I320">
        <v>85.2</v>
      </c>
      <c r="J320">
        <v>4.8899999999999997</v>
      </c>
      <c r="K320">
        <v>1</v>
      </c>
      <c r="L320">
        <v>4.2</v>
      </c>
      <c r="M320">
        <v>726776.22</v>
      </c>
      <c r="N320">
        <v>90804.49</v>
      </c>
      <c r="O320">
        <f t="shared" si="24"/>
        <v>0</v>
      </c>
      <c r="P320">
        <f t="shared" si="25"/>
        <v>0</v>
      </c>
      <c r="Q320">
        <f t="shared" si="26"/>
        <v>1</v>
      </c>
      <c r="R320">
        <f t="shared" si="27"/>
        <v>0</v>
      </c>
      <c r="S320">
        <f t="shared" si="28"/>
        <v>0</v>
      </c>
      <c r="T320">
        <f t="shared" si="29"/>
        <v>0</v>
      </c>
    </row>
    <row r="321" spans="1:20">
      <c r="A321" t="s">
        <v>101</v>
      </c>
      <c r="B321" s="3">
        <v>45748</v>
      </c>
      <c r="C321" t="s">
        <v>15</v>
      </c>
      <c r="D321" t="s">
        <v>16</v>
      </c>
      <c r="E321">
        <v>40553.11</v>
      </c>
      <c r="F321">
        <v>5317</v>
      </c>
      <c r="G321">
        <v>0.16500000000000001</v>
      </c>
      <c r="H321">
        <v>17</v>
      </c>
      <c r="I321">
        <v>84.3</v>
      </c>
      <c r="J321">
        <v>11.82</v>
      </c>
      <c r="K321">
        <v>0</v>
      </c>
      <c r="L321">
        <v>4.0999999999999996</v>
      </c>
      <c r="M321">
        <v>559660.84</v>
      </c>
      <c r="N321">
        <v>71443.61</v>
      </c>
      <c r="O321">
        <f t="shared" si="24"/>
        <v>0</v>
      </c>
      <c r="P321">
        <f t="shared" si="25"/>
        <v>0</v>
      </c>
      <c r="Q321">
        <f t="shared" si="26"/>
        <v>1</v>
      </c>
      <c r="R321">
        <f t="shared" si="27"/>
        <v>0</v>
      </c>
      <c r="S321">
        <f t="shared" si="28"/>
        <v>0</v>
      </c>
      <c r="T321">
        <f t="shared" si="29"/>
        <v>0</v>
      </c>
    </row>
    <row r="324" spans="1:20">
      <c r="J324" s="5"/>
      <c r="L324"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20E97-FBA0-C44B-86A1-773790E522A1}">
  <dimension ref="A1:J47"/>
  <sheetViews>
    <sheetView workbookViewId="0">
      <selection activeCell="H34" sqref="H34"/>
    </sheetView>
  </sheetViews>
  <sheetFormatPr baseColWidth="10" defaultColWidth="20.1640625" defaultRowHeight="14"/>
  <sheetData>
    <row r="1" spans="1:10">
      <c r="A1" s="11" t="s">
        <v>148</v>
      </c>
      <c r="B1" s="12"/>
      <c r="C1" s="12"/>
      <c r="D1" s="12"/>
      <c r="E1" s="12"/>
      <c r="F1" s="12"/>
      <c r="G1" s="12"/>
      <c r="H1" s="12"/>
      <c r="I1" s="12"/>
      <c r="J1" s="13"/>
    </row>
    <row r="2" spans="1:10">
      <c r="A2" s="14" t="s">
        <v>124</v>
      </c>
      <c r="B2" s="1"/>
      <c r="C2" s="1"/>
      <c r="D2" s="1"/>
      <c r="E2" s="1"/>
      <c r="F2" s="1"/>
      <c r="G2" s="1"/>
      <c r="H2" s="1"/>
      <c r="I2" s="1"/>
      <c r="J2" s="1"/>
    </row>
    <row r="3" spans="1:10" ht="15" thickBot="1">
      <c r="A3" s="14"/>
      <c r="B3" s="1"/>
      <c r="C3" s="1"/>
      <c r="D3" s="1"/>
      <c r="E3" s="1"/>
      <c r="F3" s="1"/>
      <c r="G3" s="1"/>
      <c r="H3" s="1"/>
      <c r="I3" s="1"/>
      <c r="J3" s="1"/>
    </row>
    <row r="4" spans="1:10" ht="15">
      <c r="A4" s="15" t="s">
        <v>125</v>
      </c>
      <c r="B4" s="10"/>
      <c r="C4" s="1"/>
      <c r="D4" s="1"/>
      <c r="E4" s="1"/>
      <c r="F4" s="1"/>
      <c r="G4" s="1"/>
      <c r="H4" s="1"/>
      <c r="I4" s="1"/>
      <c r="J4" s="1"/>
    </row>
    <row r="5" spans="1:10">
      <c r="A5" s="14" t="s">
        <v>126</v>
      </c>
      <c r="B5" s="1">
        <v>0.40895561021322352</v>
      </c>
      <c r="C5" s="1"/>
      <c r="D5" s="1"/>
      <c r="E5" s="1"/>
      <c r="F5" s="1"/>
      <c r="G5" s="1"/>
      <c r="H5" s="1"/>
      <c r="I5" s="1"/>
      <c r="J5" s="1"/>
    </row>
    <row r="6" spans="1:10">
      <c r="A6" s="14" t="s">
        <v>127</v>
      </c>
      <c r="B6" s="1">
        <v>0.16724469112487</v>
      </c>
      <c r="C6" s="1"/>
      <c r="D6" s="1"/>
      <c r="E6" s="1"/>
      <c r="F6" s="1"/>
      <c r="G6" s="1"/>
      <c r="H6" s="1"/>
      <c r="I6" s="1"/>
      <c r="J6" s="1"/>
    </row>
    <row r="7" spans="1:10">
      <c r="A7" s="14" t="s">
        <v>128</v>
      </c>
      <c r="B7" s="1">
        <v>0.16462596373847024</v>
      </c>
      <c r="C7" s="1"/>
      <c r="D7" s="1"/>
      <c r="E7" s="1"/>
      <c r="F7" s="1"/>
      <c r="G7" s="1"/>
      <c r="H7" s="1"/>
      <c r="I7" s="1"/>
      <c r="J7" s="1"/>
    </row>
    <row r="8" spans="1:10">
      <c r="A8" s="14" t="s">
        <v>129</v>
      </c>
      <c r="B8" s="1">
        <v>94846.03383215853</v>
      </c>
      <c r="C8" s="1"/>
      <c r="D8" s="1"/>
      <c r="E8" s="1"/>
      <c r="F8" s="1"/>
      <c r="G8" s="1"/>
      <c r="H8" s="1"/>
      <c r="I8" s="1"/>
      <c r="J8" s="1"/>
    </row>
    <row r="9" spans="1:10" ht="15" thickBot="1">
      <c r="A9" s="16" t="s">
        <v>130</v>
      </c>
      <c r="B9" s="8">
        <v>320</v>
      </c>
      <c r="C9" s="1"/>
      <c r="D9" s="1"/>
      <c r="E9" s="1"/>
      <c r="F9" s="1"/>
      <c r="G9" s="1"/>
      <c r="H9" s="1"/>
      <c r="I9" s="1"/>
      <c r="J9" s="1"/>
    </row>
    <row r="10" spans="1:10">
      <c r="A10" s="14"/>
      <c r="B10" s="1"/>
      <c r="C10" s="1"/>
      <c r="D10" s="1"/>
      <c r="E10" s="1"/>
      <c r="F10" s="1"/>
      <c r="G10" s="1"/>
      <c r="H10" s="1"/>
      <c r="I10" s="1"/>
      <c r="J10" s="1"/>
    </row>
    <row r="11" spans="1:10" ht="15" thickBot="1">
      <c r="A11" s="14" t="s">
        <v>131</v>
      </c>
      <c r="B11" s="1"/>
      <c r="C11" s="1"/>
      <c r="D11" s="1"/>
      <c r="E11" s="1"/>
      <c r="F11" s="1"/>
      <c r="G11" s="1"/>
      <c r="H11" s="1"/>
      <c r="I11" s="1"/>
      <c r="J11" s="1"/>
    </row>
    <row r="12" spans="1:10" ht="15">
      <c r="A12" s="17"/>
      <c r="B12" s="9" t="s">
        <v>136</v>
      </c>
      <c r="C12" s="9" t="s">
        <v>137</v>
      </c>
      <c r="D12" s="9" t="s">
        <v>138</v>
      </c>
      <c r="E12" s="9" t="s">
        <v>139</v>
      </c>
      <c r="F12" s="9" t="s">
        <v>140</v>
      </c>
      <c r="G12" s="1"/>
      <c r="H12" s="1"/>
      <c r="I12" s="1"/>
      <c r="J12" s="1"/>
    </row>
    <row r="13" spans="1:10">
      <c r="A13" s="14" t="s">
        <v>132</v>
      </c>
      <c r="B13" s="1">
        <v>1</v>
      </c>
      <c r="C13" s="1">
        <v>574513714277.01416</v>
      </c>
      <c r="D13" s="1">
        <v>574513714277.01416</v>
      </c>
      <c r="E13" s="1">
        <v>63.864872683367629</v>
      </c>
      <c r="F13" s="1">
        <v>2.4800615101359619E-14</v>
      </c>
      <c r="G13" s="1"/>
      <c r="H13" s="1"/>
      <c r="I13" s="1"/>
      <c r="J13" s="1"/>
    </row>
    <row r="14" spans="1:10">
      <c r="A14" s="14" t="s">
        <v>133</v>
      </c>
      <c r="B14" s="1">
        <v>318</v>
      </c>
      <c r="C14" s="1">
        <v>2860654902513.7251</v>
      </c>
      <c r="D14" s="1">
        <v>8995770133.6909599</v>
      </c>
      <c r="E14" s="1"/>
      <c r="F14" s="1"/>
      <c r="G14" s="1"/>
      <c r="H14" s="1"/>
      <c r="I14" s="1"/>
      <c r="J14" s="1"/>
    </row>
    <row r="15" spans="1:10" ht="15" thickBot="1">
      <c r="A15" s="16" t="s">
        <v>134</v>
      </c>
      <c r="B15" s="8">
        <v>319</v>
      </c>
      <c r="C15" s="8">
        <v>3435168616790.7393</v>
      </c>
      <c r="D15" s="8"/>
      <c r="E15" s="8"/>
      <c r="F15" s="8"/>
      <c r="G15" s="1"/>
      <c r="H15" s="1"/>
      <c r="I15" s="1"/>
      <c r="J15" s="1"/>
    </row>
    <row r="16" spans="1:10" ht="15" thickBot="1">
      <c r="A16" s="14"/>
      <c r="B16" s="1"/>
      <c r="C16" s="1"/>
      <c r="D16" s="1"/>
      <c r="E16" s="1"/>
      <c r="F16" s="1"/>
      <c r="G16" s="1"/>
      <c r="H16" s="1"/>
      <c r="I16" s="1"/>
      <c r="J16" s="1"/>
    </row>
    <row r="17" spans="1:10" ht="15">
      <c r="A17" s="17"/>
      <c r="B17" s="9" t="s">
        <v>141</v>
      </c>
      <c r="C17" s="9" t="s">
        <v>129</v>
      </c>
      <c r="D17" s="9" t="s">
        <v>142</v>
      </c>
      <c r="E17" s="9" t="s">
        <v>143</v>
      </c>
      <c r="F17" s="9" t="s">
        <v>144</v>
      </c>
      <c r="G17" s="9" t="s">
        <v>145</v>
      </c>
      <c r="H17" s="9" t="s">
        <v>146</v>
      </c>
      <c r="I17" s="9" t="s">
        <v>147</v>
      </c>
      <c r="J17" s="1"/>
    </row>
    <row r="18" spans="1:10">
      <c r="A18" s="14" t="s">
        <v>135</v>
      </c>
      <c r="B18" s="1">
        <v>560777.34544943704</v>
      </c>
      <c r="C18" s="1">
        <v>15906.905953068674</v>
      </c>
      <c r="D18" s="1">
        <v>35.253703460870398</v>
      </c>
      <c r="E18" s="1">
        <v>6.952876876284135E-112</v>
      </c>
      <c r="F18" s="1">
        <v>529481.27234763221</v>
      </c>
      <c r="G18" s="1">
        <v>592073.41855124186</v>
      </c>
      <c r="H18" s="1">
        <v>529481.27234763221</v>
      </c>
      <c r="I18" s="1">
        <v>592073.41855124186</v>
      </c>
      <c r="J18" s="1"/>
    </row>
    <row r="19" spans="1:10" ht="15" thickBot="1">
      <c r="A19" s="16" t="s">
        <v>4</v>
      </c>
      <c r="B19" s="8">
        <v>2.1295753275898281</v>
      </c>
      <c r="C19" s="8">
        <v>0.26647838106932348</v>
      </c>
      <c r="D19" s="8">
        <v>7.991550080138869</v>
      </c>
      <c r="E19" s="8">
        <v>2.4800615101360068E-14</v>
      </c>
      <c r="F19" s="8">
        <v>1.6052919176921738</v>
      </c>
      <c r="G19" s="8">
        <v>2.6538587374874827</v>
      </c>
      <c r="H19" s="8">
        <v>1.6052919176921738</v>
      </c>
      <c r="I19" s="8">
        <v>2.6538587374874827</v>
      </c>
      <c r="J19" s="1"/>
    </row>
    <row r="20" spans="1:10" ht="15" thickBot="1">
      <c r="A20" s="16"/>
      <c r="B20" s="8"/>
      <c r="C20" s="8"/>
      <c r="D20" s="8"/>
      <c r="E20" s="8"/>
      <c r="F20" s="8"/>
      <c r="G20" s="8"/>
      <c r="H20" s="8"/>
      <c r="I20" s="8"/>
      <c r="J20" s="1"/>
    </row>
    <row r="21" spans="1:10">
      <c r="J21" s="1"/>
    </row>
    <row r="22" spans="1:10">
      <c r="A22" s="14" t="s">
        <v>149</v>
      </c>
      <c r="B22" s="1"/>
      <c r="C22" s="1"/>
      <c r="D22" s="1"/>
      <c r="E22" s="1"/>
      <c r="F22" s="1"/>
      <c r="G22" s="1"/>
      <c r="H22" s="1"/>
      <c r="I22" s="1"/>
      <c r="J22" s="1"/>
    </row>
    <row r="23" spans="1:10">
      <c r="A23" s="14" t="s">
        <v>124</v>
      </c>
      <c r="B23" s="1"/>
      <c r="C23" s="1"/>
      <c r="D23" s="1"/>
      <c r="E23" s="1"/>
      <c r="F23" s="1"/>
      <c r="G23" s="1"/>
      <c r="H23" s="1"/>
      <c r="I23" s="1"/>
      <c r="J23" s="1"/>
    </row>
    <row r="24" spans="1:10" ht="15" thickBot="1">
      <c r="A24" s="14"/>
      <c r="B24" s="1"/>
      <c r="C24" s="1"/>
      <c r="D24" s="1"/>
      <c r="E24" s="1"/>
      <c r="F24" s="1"/>
      <c r="G24" s="1"/>
      <c r="H24" s="1"/>
      <c r="I24" s="1"/>
      <c r="J24" s="1"/>
    </row>
    <row r="25" spans="1:10" ht="15">
      <c r="A25" s="15" t="s">
        <v>125</v>
      </c>
      <c r="B25" s="10"/>
      <c r="C25" s="1"/>
      <c r="D25" s="1"/>
      <c r="E25" s="1"/>
      <c r="F25" s="1"/>
      <c r="G25" s="1"/>
      <c r="H25" s="1"/>
      <c r="I25" s="1"/>
      <c r="J25" s="1"/>
    </row>
    <row r="26" spans="1:10">
      <c r="A26" s="14" t="s">
        <v>126</v>
      </c>
      <c r="B26" s="1">
        <v>0.85807070804410468</v>
      </c>
      <c r="C26" s="1"/>
      <c r="D26" s="1"/>
      <c r="E26" s="1"/>
      <c r="F26" s="1"/>
      <c r="G26" s="1"/>
      <c r="H26" s="1"/>
      <c r="I26" s="1"/>
      <c r="J26" s="1"/>
    </row>
    <row r="27" spans="1:10">
      <c r="A27" s="14" t="s">
        <v>127</v>
      </c>
      <c r="B27" s="1">
        <v>0.73628534000331114</v>
      </c>
      <c r="C27" s="1"/>
      <c r="D27" s="1"/>
      <c r="E27" s="1"/>
      <c r="F27" s="1"/>
      <c r="G27" s="1"/>
      <c r="H27" s="1"/>
      <c r="I27" s="1"/>
      <c r="J27" s="1"/>
    </row>
    <row r="28" spans="1:10">
      <c r="A28" s="14" t="s">
        <v>128</v>
      </c>
      <c r="B28" s="1">
        <v>0.73545604861967373</v>
      </c>
      <c r="C28" s="1"/>
      <c r="D28" s="1"/>
      <c r="E28" s="1"/>
      <c r="F28" s="1"/>
      <c r="G28" s="1"/>
      <c r="H28" s="1"/>
      <c r="I28" s="1"/>
      <c r="J28" s="1"/>
    </row>
    <row r="29" spans="1:10">
      <c r="A29" s="14" t="s">
        <v>129</v>
      </c>
      <c r="B29" s="1">
        <v>53373.736380790499</v>
      </c>
      <c r="C29" s="1"/>
      <c r="D29" s="1"/>
      <c r="E29" s="1"/>
      <c r="F29" s="1"/>
      <c r="G29" s="1"/>
      <c r="H29" s="1"/>
      <c r="I29" s="1"/>
      <c r="J29" s="1"/>
    </row>
    <row r="30" spans="1:10" ht="15" thickBot="1">
      <c r="A30" s="16" t="s">
        <v>130</v>
      </c>
      <c r="B30" s="8">
        <v>320</v>
      </c>
      <c r="C30" s="1"/>
      <c r="D30" s="1"/>
      <c r="E30" s="1"/>
      <c r="F30" s="1"/>
      <c r="G30" s="1"/>
      <c r="H30" s="1"/>
      <c r="I30" s="1"/>
      <c r="J30" s="1"/>
    </row>
    <row r="31" spans="1:10">
      <c r="A31" s="14"/>
      <c r="B31" s="1"/>
      <c r="C31" s="1"/>
      <c r="D31" s="1"/>
      <c r="E31" s="1"/>
      <c r="F31" s="1"/>
      <c r="G31" s="1"/>
      <c r="H31" s="1"/>
      <c r="I31" s="1"/>
      <c r="J31" s="1"/>
    </row>
    <row r="32" spans="1:10" ht="15" thickBot="1">
      <c r="A32" s="14" t="s">
        <v>131</v>
      </c>
      <c r="B32" s="1"/>
      <c r="C32" s="1"/>
      <c r="D32" s="1"/>
      <c r="E32" s="1"/>
      <c r="F32" s="1"/>
      <c r="G32" s="1"/>
      <c r="H32" s="1"/>
      <c r="I32" s="1"/>
      <c r="J32" s="1"/>
    </row>
    <row r="33" spans="1:10" ht="15">
      <c r="A33" s="17"/>
      <c r="B33" s="9" t="s">
        <v>136</v>
      </c>
      <c r="C33" s="9" t="s">
        <v>137</v>
      </c>
      <c r="D33" s="9" t="s">
        <v>138</v>
      </c>
      <c r="E33" s="9" t="s">
        <v>139</v>
      </c>
      <c r="F33" s="9" t="s">
        <v>140</v>
      </c>
      <c r="G33" s="1"/>
      <c r="H33" s="1"/>
      <c r="I33" s="1"/>
      <c r="J33" s="1"/>
    </row>
    <row r="34" spans="1:10">
      <c r="A34" s="14" t="s">
        <v>132</v>
      </c>
      <c r="B34" s="1">
        <v>1</v>
      </c>
      <c r="C34" s="1">
        <v>2529264292982.4736</v>
      </c>
      <c r="D34" s="1">
        <v>2529264292982.4736</v>
      </c>
      <c r="E34" s="1">
        <v>887.84877611276033</v>
      </c>
      <c r="F34" s="1">
        <v>4.7503615090053331E-94</v>
      </c>
      <c r="G34" s="1"/>
      <c r="H34" s="1"/>
      <c r="I34" s="1"/>
      <c r="J34" s="1"/>
    </row>
    <row r="35" spans="1:10">
      <c r="A35" s="14" t="s">
        <v>133</v>
      </c>
      <c r="B35" s="1">
        <v>318</v>
      </c>
      <c r="C35" s="1">
        <v>905904323808.26587</v>
      </c>
      <c r="D35" s="1">
        <v>2848755735.246119</v>
      </c>
      <c r="E35" s="1"/>
      <c r="F35" s="1"/>
      <c r="G35" s="1"/>
      <c r="H35" s="1"/>
      <c r="I35" s="1"/>
      <c r="J35" s="1"/>
    </row>
    <row r="36" spans="1:10" ht="15" thickBot="1">
      <c r="A36" s="16" t="s">
        <v>134</v>
      </c>
      <c r="B36" s="8">
        <v>319</v>
      </c>
      <c r="C36" s="8">
        <v>3435168616790.7393</v>
      </c>
      <c r="D36" s="8"/>
      <c r="E36" s="8"/>
      <c r="F36" s="8"/>
      <c r="G36" s="1"/>
      <c r="H36" s="1"/>
      <c r="I36" s="1"/>
      <c r="J36" s="1"/>
    </row>
    <row r="37" spans="1:10" ht="15" thickBot="1">
      <c r="A37" s="14"/>
      <c r="B37" s="1"/>
      <c r="C37" s="1"/>
      <c r="D37" s="1"/>
      <c r="E37" s="1"/>
      <c r="F37" s="1"/>
      <c r="G37" s="1"/>
      <c r="H37" s="1"/>
      <c r="I37" s="1"/>
      <c r="J37" s="1"/>
    </row>
    <row r="38" spans="1:10" ht="15">
      <c r="A38" s="17"/>
      <c r="B38" s="9" t="s">
        <v>141</v>
      </c>
      <c r="C38" s="9" t="s">
        <v>129</v>
      </c>
      <c r="D38" s="9" t="s">
        <v>142</v>
      </c>
      <c r="E38" s="9" t="s">
        <v>143</v>
      </c>
      <c r="F38" s="9" t="s">
        <v>144</v>
      </c>
      <c r="G38" s="9" t="s">
        <v>145</v>
      </c>
      <c r="H38" s="9" t="s">
        <v>146</v>
      </c>
      <c r="I38" s="9" t="s">
        <v>147</v>
      </c>
      <c r="J38" s="1"/>
    </row>
    <row r="39" spans="1:10">
      <c r="A39" s="14" t="s">
        <v>135</v>
      </c>
      <c r="B39" s="1">
        <v>446410.58293395344</v>
      </c>
      <c r="C39" s="1">
        <v>8407.7382630059928</v>
      </c>
      <c r="D39" s="1">
        <v>53.095204556754318</v>
      </c>
      <c r="E39" s="1">
        <v>4.0862695711507226E-160</v>
      </c>
      <c r="F39" s="1">
        <v>429868.76191129786</v>
      </c>
      <c r="G39" s="1">
        <v>462952.40395660902</v>
      </c>
      <c r="H39" s="1">
        <v>429868.76191129786</v>
      </c>
      <c r="I39" s="1">
        <v>462952.40395660902</v>
      </c>
      <c r="J39" s="1"/>
    </row>
    <row r="40" spans="1:10" ht="15" thickBot="1">
      <c r="A40" s="16" t="s">
        <v>5</v>
      </c>
      <c r="B40" s="8">
        <v>35.678031072640458</v>
      </c>
      <c r="C40" s="8">
        <v>1.1973782890340821</v>
      </c>
      <c r="D40" s="8">
        <v>29.796791372776362</v>
      </c>
      <c r="E40" s="8">
        <v>4.7503615090054677E-94</v>
      </c>
      <c r="F40" s="8">
        <v>33.322246825554025</v>
      </c>
      <c r="G40" s="8">
        <v>38.033815319726891</v>
      </c>
      <c r="H40" s="8">
        <v>33.322246825554025</v>
      </c>
      <c r="I40" s="8">
        <v>38.033815319726891</v>
      </c>
      <c r="J40" s="1"/>
    </row>
    <row r="41" spans="1:10">
      <c r="A41" s="14"/>
      <c r="B41" s="1"/>
      <c r="C41" s="1"/>
      <c r="D41" s="1"/>
      <c r="E41" s="1"/>
      <c r="F41" s="1"/>
      <c r="G41" s="1"/>
      <c r="H41" s="1"/>
      <c r="I41" s="1"/>
      <c r="J41" s="1"/>
    </row>
    <row r="42" spans="1:10">
      <c r="A42" s="1"/>
      <c r="B42" s="1"/>
      <c r="C42" s="1"/>
      <c r="D42" s="1"/>
      <c r="E42" s="1"/>
      <c r="F42" s="1"/>
      <c r="G42" s="1"/>
      <c r="H42" s="1"/>
      <c r="I42" s="1"/>
      <c r="J42" s="1"/>
    </row>
    <row r="43" spans="1:10">
      <c r="A43" s="1"/>
      <c r="B43" s="1"/>
      <c r="C43" s="1"/>
      <c r="D43" s="1"/>
      <c r="E43" s="1"/>
      <c r="F43" s="1"/>
      <c r="G43" s="1"/>
      <c r="H43" s="1"/>
      <c r="I43" s="1"/>
    </row>
    <row r="44" spans="1:10" ht="15">
      <c r="A44" s="18" t="s">
        <v>169</v>
      </c>
    </row>
    <row r="45" spans="1:10" ht="15">
      <c r="A45" s="19" t="s">
        <v>150</v>
      </c>
      <c r="B45" s="19" t="s">
        <v>151</v>
      </c>
      <c r="C45" s="19" t="s">
        <v>152</v>
      </c>
      <c r="D45" s="19" t="s">
        <v>153</v>
      </c>
      <c r="E45" s="19" t="s">
        <v>154</v>
      </c>
      <c r="F45" s="19" t="s">
        <v>155</v>
      </c>
      <c r="G45" s="19" t="s">
        <v>143</v>
      </c>
      <c r="H45" s="19" t="s">
        <v>156</v>
      </c>
      <c r="I45" s="19" t="s">
        <v>157</v>
      </c>
      <c r="J45" s="19" t="s">
        <v>158</v>
      </c>
    </row>
    <row r="46" spans="1:10">
      <c r="A46" s="20" t="s">
        <v>159</v>
      </c>
      <c r="B46" s="20" t="s">
        <v>160</v>
      </c>
      <c r="C46" s="20" t="s">
        <v>161</v>
      </c>
      <c r="D46" s="20" t="s">
        <v>162</v>
      </c>
      <c r="E46" s="20">
        <v>0.16719999999999999</v>
      </c>
      <c r="F46" s="20">
        <v>2.1295999999999999</v>
      </c>
      <c r="G46" s="21">
        <v>2.4799999999999999E-14</v>
      </c>
      <c r="H46" s="20" t="s">
        <v>163</v>
      </c>
      <c r="I46" s="20" t="s">
        <v>164</v>
      </c>
      <c r="J46" s="20" t="s">
        <v>163</v>
      </c>
    </row>
    <row r="47" spans="1:10">
      <c r="A47" s="20" t="s">
        <v>165</v>
      </c>
      <c r="B47" s="20" t="s">
        <v>160</v>
      </c>
      <c r="C47" s="20" t="s">
        <v>166</v>
      </c>
      <c r="D47" s="20" t="s">
        <v>167</v>
      </c>
      <c r="E47" s="20">
        <v>0.73629999999999995</v>
      </c>
      <c r="F47" s="20">
        <v>35.6783</v>
      </c>
      <c r="G47" s="21">
        <v>4.7499999999999999E-94</v>
      </c>
      <c r="H47" s="20" t="s">
        <v>163</v>
      </c>
      <c r="I47" s="20" t="s">
        <v>168</v>
      </c>
      <c r="J47" s="20" t="s">
        <v>163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D8AE8-268E-B64A-815D-42FE4FBB2328}">
  <dimension ref="B2:J111"/>
  <sheetViews>
    <sheetView zoomScale="120" zoomScaleNormal="120" workbookViewId="0">
      <selection activeCell="E6" sqref="E6"/>
    </sheetView>
  </sheetViews>
  <sheetFormatPr baseColWidth="10" defaultColWidth="19.83203125" defaultRowHeight="14"/>
  <cols>
    <col min="2" max="2" width="24.6640625" customWidth="1"/>
  </cols>
  <sheetData>
    <row r="2" spans="2:7">
      <c r="B2" t="s">
        <v>124</v>
      </c>
    </row>
    <row r="3" spans="2:7" ht="15" thickBot="1"/>
    <row r="4" spans="2:7" ht="15">
      <c r="B4" s="10" t="s">
        <v>125</v>
      </c>
      <c r="C4" s="10"/>
    </row>
    <row r="5" spans="2:7">
      <c r="B5" s="1" t="s">
        <v>126</v>
      </c>
      <c r="C5" s="1">
        <v>0.90081580025255059</v>
      </c>
    </row>
    <row r="6" spans="2:7">
      <c r="B6" s="1" t="s">
        <v>127</v>
      </c>
      <c r="C6" s="1">
        <v>0.81146910598464306</v>
      </c>
    </row>
    <row r="7" spans="2:7">
      <c r="B7" s="1" t="s">
        <v>128</v>
      </c>
      <c r="C7" s="1">
        <v>0.80846702168503537</v>
      </c>
    </row>
    <row r="8" spans="2:7">
      <c r="B8" s="1" t="s">
        <v>129</v>
      </c>
      <c r="C8" s="1">
        <v>45415.120325662938</v>
      </c>
    </row>
    <row r="9" spans="2:7" ht="15" thickBot="1">
      <c r="B9" s="8" t="s">
        <v>130</v>
      </c>
      <c r="C9" s="8">
        <v>320</v>
      </c>
    </row>
    <row r="11" spans="2:7" ht="15" thickBot="1">
      <c r="B11" t="s">
        <v>131</v>
      </c>
    </row>
    <row r="12" spans="2:7" ht="15">
      <c r="B12" s="9"/>
      <c r="C12" s="9" t="s">
        <v>136</v>
      </c>
      <c r="D12" s="9" t="s">
        <v>137</v>
      </c>
      <c r="E12" s="9" t="s">
        <v>138</v>
      </c>
      <c r="F12" s="9" t="s">
        <v>139</v>
      </c>
      <c r="G12" s="9" t="s">
        <v>140</v>
      </c>
    </row>
    <row r="13" spans="2:7">
      <c r="B13" s="1" t="s">
        <v>132</v>
      </c>
      <c r="C13" s="1">
        <v>5</v>
      </c>
      <c r="D13" s="1">
        <v>2787533206373.6841</v>
      </c>
      <c r="E13" s="1">
        <v>557506641274.73682</v>
      </c>
      <c r="F13" s="1">
        <v>270.30190527651439</v>
      </c>
      <c r="G13" s="1">
        <v>1.8849520371336422E-111</v>
      </c>
    </row>
    <row r="14" spans="2:7">
      <c r="B14" s="1" t="s">
        <v>133</v>
      </c>
      <c r="C14" s="1">
        <v>314</v>
      </c>
      <c r="D14" s="1">
        <v>647635410417.05518</v>
      </c>
      <c r="E14" s="1">
        <v>2062533154.1944432</v>
      </c>
      <c r="F14" s="1"/>
      <c r="G14" s="1"/>
    </row>
    <row r="15" spans="2:7" ht="15" thickBot="1">
      <c r="B15" s="8" t="s">
        <v>134</v>
      </c>
      <c r="C15" s="8">
        <v>319</v>
      </c>
      <c r="D15" s="8">
        <v>3435168616790.7393</v>
      </c>
      <c r="E15" s="8"/>
      <c r="F15" s="8"/>
      <c r="G15" s="8"/>
    </row>
    <row r="16" spans="2:7" ht="15" thickBot="1"/>
    <row r="17" spans="2:10" ht="15">
      <c r="B17" s="9"/>
      <c r="C17" s="9" t="s">
        <v>141</v>
      </c>
      <c r="D17" s="9" t="s">
        <v>129</v>
      </c>
      <c r="E17" s="9" t="s">
        <v>142</v>
      </c>
      <c r="F17" s="9" t="s">
        <v>143</v>
      </c>
      <c r="G17" s="9" t="s">
        <v>144</v>
      </c>
      <c r="H17" s="9" t="s">
        <v>145</v>
      </c>
      <c r="I17" s="9" t="s">
        <v>146</v>
      </c>
      <c r="J17" s="9" t="s">
        <v>147</v>
      </c>
    </row>
    <row r="18" spans="2:10">
      <c r="B18" s="1" t="s">
        <v>135</v>
      </c>
      <c r="C18" s="1">
        <v>79514.810305189603</v>
      </c>
      <c r="D18" s="1">
        <v>48952.464872006058</v>
      </c>
      <c r="E18" s="1">
        <v>1.624326997896707</v>
      </c>
      <c r="F18" s="1">
        <v>0.10530938744090577</v>
      </c>
      <c r="G18" s="1">
        <v>-16801.49926933524</v>
      </c>
      <c r="H18" s="1">
        <v>175831.11987971445</v>
      </c>
      <c r="I18" s="1">
        <v>-16801.49926933524</v>
      </c>
      <c r="J18" s="1">
        <v>175831.11987971445</v>
      </c>
    </row>
    <row r="19" spans="2:10">
      <c r="B19" s="1" t="s">
        <v>4</v>
      </c>
      <c r="C19" s="1">
        <v>1.1864913873158967</v>
      </c>
      <c r="D19" s="1">
        <v>0.13158415361020553</v>
      </c>
      <c r="E19" s="1">
        <v>9.0169777648961027</v>
      </c>
      <c r="F19" s="1">
        <v>1.9534793906961842E-17</v>
      </c>
      <c r="G19" s="1">
        <v>0.9275932887756132</v>
      </c>
      <c r="H19" s="1">
        <v>1.44538948585618</v>
      </c>
      <c r="I19" s="1">
        <v>0.9275932887756132</v>
      </c>
      <c r="J19" s="1">
        <v>1.44538948585618</v>
      </c>
    </row>
    <row r="20" spans="2:10">
      <c r="B20" s="1" t="s">
        <v>5</v>
      </c>
      <c r="C20" s="1">
        <v>33.728560954801203</v>
      </c>
      <c r="D20" s="1">
        <v>1.050718152373576</v>
      </c>
      <c r="E20" s="1">
        <v>32.100483729731195</v>
      </c>
      <c r="F20" s="1">
        <v>3.5266992171969454E-101</v>
      </c>
      <c r="G20" s="1">
        <v>31.661222872761968</v>
      </c>
      <c r="H20" s="1">
        <v>35.795899036840439</v>
      </c>
      <c r="I20" s="1">
        <v>31.661222872761968</v>
      </c>
      <c r="J20" s="1">
        <v>35.795899036840439</v>
      </c>
    </row>
    <row r="21" spans="2:10">
      <c r="B21" s="1" t="s">
        <v>8</v>
      </c>
      <c r="C21" s="1">
        <v>3039.8854953828868</v>
      </c>
      <c r="D21" s="1">
        <v>476.47904356272119</v>
      </c>
      <c r="E21" s="1">
        <v>6.3798933792619827</v>
      </c>
      <c r="F21" s="1">
        <v>6.3443445333703749E-10</v>
      </c>
      <c r="G21" s="1">
        <v>2102.3902500350932</v>
      </c>
      <c r="H21" s="1">
        <v>3977.3807407306804</v>
      </c>
      <c r="I21" s="1">
        <v>2102.3902500350932</v>
      </c>
      <c r="J21" s="1">
        <v>3977.3807407306804</v>
      </c>
    </row>
    <row r="22" spans="2:10">
      <c r="B22" s="1" t="s">
        <v>11</v>
      </c>
      <c r="C22" s="1">
        <v>10421.66591547976</v>
      </c>
      <c r="D22" s="1">
        <v>4932.7727034634345</v>
      </c>
      <c r="E22" s="1">
        <v>2.112739942013226</v>
      </c>
      <c r="F22" s="1">
        <v>3.5412022685985277E-2</v>
      </c>
      <c r="G22" s="1">
        <v>716.20033760148999</v>
      </c>
      <c r="H22" s="1">
        <v>20127.131493358029</v>
      </c>
      <c r="I22" s="1">
        <v>716.20033760148999</v>
      </c>
      <c r="J22" s="1">
        <v>20127.131493358029</v>
      </c>
    </row>
    <row r="23" spans="2:10" ht="15" thickBot="1">
      <c r="B23" s="8" t="s">
        <v>123</v>
      </c>
      <c r="C23" s="8">
        <v>15257.567770235186</v>
      </c>
      <c r="D23" s="8">
        <v>5983.7970808958798</v>
      </c>
      <c r="E23" s="8">
        <v>2.5498136992223772</v>
      </c>
      <c r="F23" s="8">
        <v>1.1252907664996521E-2</v>
      </c>
      <c r="G23" s="8">
        <v>3484.1615979080048</v>
      </c>
      <c r="H23" s="8">
        <v>27030.973942562367</v>
      </c>
      <c r="I23" s="8">
        <v>3484.1615979080048</v>
      </c>
      <c r="J23" s="8">
        <v>27030.973942562367</v>
      </c>
    </row>
    <row r="26" spans="2:10" ht="15">
      <c r="B26" s="18" t="s">
        <v>170</v>
      </c>
    </row>
    <row r="27" spans="2:10" ht="18">
      <c r="B27" s="23" t="s">
        <v>171</v>
      </c>
    </row>
    <row r="29" spans="2:10" ht="15">
      <c r="B29" s="18" t="s">
        <v>172</v>
      </c>
    </row>
    <row r="31" spans="2:10" ht="15">
      <c r="B31" s="18" t="s">
        <v>173</v>
      </c>
    </row>
    <row r="33" spans="2:7" ht="15" customHeight="1">
      <c r="B33" s="28" t="s">
        <v>174</v>
      </c>
      <c r="C33" s="28"/>
      <c r="D33" s="28"/>
      <c r="E33" s="28"/>
      <c r="F33" s="28"/>
      <c r="G33" s="28"/>
    </row>
    <row r="34" spans="2:7">
      <c r="B34" s="28"/>
      <c r="C34" s="28"/>
      <c r="D34" s="28"/>
      <c r="E34" s="28"/>
      <c r="F34" s="28"/>
      <c r="G34" s="28"/>
    </row>
    <row r="35" spans="2:7">
      <c r="B35" s="28"/>
      <c r="C35" s="28"/>
      <c r="D35" s="28"/>
      <c r="E35" s="28"/>
      <c r="F35" s="28"/>
      <c r="G35" s="28"/>
    </row>
    <row r="36" spans="2:7">
      <c r="B36" s="28"/>
      <c r="C36" s="28"/>
      <c r="D36" s="28"/>
      <c r="E36" s="28"/>
      <c r="F36" s="28"/>
      <c r="G36" s="28"/>
    </row>
    <row r="37" spans="2:7">
      <c r="B37" s="28"/>
      <c r="C37" s="28"/>
      <c r="D37" s="28"/>
      <c r="E37" s="28"/>
      <c r="F37" s="28"/>
      <c r="G37" s="28"/>
    </row>
    <row r="38" spans="2:7">
      <c r="B38" s="28"/>
      <c r="C38" s="28"/>
      <c r="D38" s="28"/>
      <c r="E38" s="28"/>
      <c r="F38" s="28"/>
      <c r="G38" s="28"/>
    </row>
    <row r="39" spans="2:7">
      <c r="B39" s="28"/>
      <c r="C39" s="28"/>
      <c r="D39" s="28"/>
      <c r="E39" s="28"/>
      <c r="F39" s="28"/>
      <c r="G39" s="28"/>
    </row>
    <row r="40" spans="2:7">
      <c r="B40" s="28"/>
      <c r="C40" s="28"/>
      <c r="D40" s="28"/>
      <c r="E40" s="28"/>
      <c r="F40" s="28"/>
      <c r="G40" s="28"/>
    </row>
    <row r="42" spans="2:7" ht="18">
      <c r="B42" s="23" t="s">
        <v>175</v>
      </c>
    </row>
    <row r="44" spans="2:7" ht="15">
      <c r="B44" s="25" t="s">
        <v>176</v>
      </c>
      <c r="C44" s="25" t="s">
        <v>155</v>
      </c>
      <c r="D44" s="25" t="s">
        <v>177</v>
      </c>
    </row>
    <row r="45" spans="2:7" ht="15">
      <c r="B45" t="s">
        <v>161</v>
      </c>
      <c r="C45" s="24">
        <v>1.1865000000000001</v>
      </c>
      <c r="D45" t="s">
        <v>178</v>
      </c>
    </row>
    <row r="46" spans="2:7" ht="15">
      <c r="B46" t="s">
        <v>166</v>
      </c>
      <c r="C46" s="24">
        <v>33.7286</v>
      </c>
      <c r="D46" t="s">
        <v>179</v>
      </c>
    </row>
    <row r="47" spans="2:7" ht="15">
      <c r="B47" t="s">
        <v>180</v>
      </c>
      <c r="C47" s="24">
        <v>3039.89</v>
      </c>
      <c r="D47" t="s">
        <v>181</v>
      </c>
    </row>
    <row r="48" spans="2:7" ht="15">
      <c r="B48" t="s">
        <v>182</v>
      </c>
      <c r="C48" s="24">
        <v>10421.67</v>
      </c>
      <c r="D48" t="s">
        <v>183</v>
      </c>
    </row>
    <row r="49" spans="2:6" ht="15">
      <c r="B49" t="s">
        <v>123</v>
      </c>
      <c r="C49" s="24">
        <v>15257.57</v>
      </c>
      <c r="D49" t="s">
        <v>184</v>
      </c>
    </row>
    <row r="52" spans="2:6" ht="18">
      <c r="B52" s="23" t="s">
        <v>185</v>
      </c>
    </row>
    <row r="54" spans="2:6" ht="15">
      <c r="B54" s="18" t="s">
        <v>186</v>
      </c>
    </row>
    <row r="57" spans="2:6" ht="15">
      <c r="B57" s="18" t="s">
        <v>173</v>
      </c>
    </row>
    <row r="59" spans="2:6" ht="15" customHeight="1">
      <c r="B59" s="29" t="s">
        <v>187</v>
      </c>
      <c r="C59" s="29"/>
      <c r="D59" s="29"/>
      <c r="E59" s="29"/>
      <c r="F59" s="29"/>
    </row>
    <row r="60" spans="2:6">
      <c r="B60" s="29"/>
      <c r="C60" s="29"/>
      <c r="D60" s="29"/>
      <c r="E60" s="29"/>
      <c r="F60" s="29"/>
    </row>
    <row r="61" spans="2:6">
      <c r="B61" s="29"/>
      <c r="C61" s="29"/>
      <c r="D61" s="29"/>
      <c r="E61" s="29"/>
      <c r="F61" s="29"/>
    </row>
    <row r="62" spans="2:6">
      <c r="B62" s="29"/>
      <c r="C62" s="29"/>
      <c r="D62" s="29"/>
      <c r="E62" s="29"/>
      <c r="F62" s="29"/>
    </row>
    <row r="64" spans="2:6" ht="18">
      <c r="B64" s="23" t="s">
        <v>188</v>
      </c>
    </row>
    <row r="66" spans="2:4" ht="15">
      <c r="B66" s="18" t="s">
        <v>176</v>
      </c>
      <c r="C66" s="25" t="s">
        <v>143</v>
      </c>
      <c r="D66" s="18" t="s">
        <v>177</v>
      </c>
    </row>
    <row r="67" spans="2:4">
      <c r="B67" t="s">
        <v>161</v>
      </c>
      <c r="C67" s="26">
        <v>1.9499999999999999E-17</v>
      </c>
      <c r="D67" t="s">
        <v>189</v>
      </c>
    </row>
    <row r="68" spans="2:4">
      <c r="B68" t="s">
        <v>166</v>
      </c>
      <c r="C68" s="26">
        <v>3.5299999999999997E-101</v>
      </c>
      <c r="D68" t="s">
        <v>189</v>
      </c>
    </row>
    <row r="69" spans="2:4">
      <c r="B69" t="s">
        <v>190</v>
      </c>
      <c r="C69" s="26">
        <v>6.3399999999999998E-10</v>
      </c>
      <c r="D69" t="s">
        <v>189</v>
      </c>
    </row>
    <row r="70" spans="2:4">
      <c r="B70" t="s">
        <v>182</v>
      </c>
      <c r="C70" s="24">
        <v>3.5400000000000001E-2</v>
      </c>
      <c r="D70" t="s">
        <v>189</v>
      </c>
    </row>
    <row r="71" spans="2:4">
      <c r="B71" t="s">
        <v>123</v>
      </c>
      <c r="C71" s="24">
        <v>1.1299999999999999E-2</v>
      </c>
      <c r="D71" t="s">
        <v>189</v>
      </c>
    </row>
    <row r="73" spans="2:4" ht="15">
      <c r="B73" s="18" t="s">
        <v>173</v>
      </c>
    </row>
    <row r="75" spans="2:4" ht="15">
      <c r="B75" t="s">
        <v>191</v>
      </c>
    </row>
    <row r="77" spans="2:4" ht="18">
      <c r="B77" s="23" t="s">
        <v>192</v>
      </c>
    </row>
    <row r="79" spans="2:4" ht="15">
      <c r="B79" s="18" t="s">
        <v>176</v>
      </c>
      <c r="C79" s="18" t="s">
        <v>193</v>
      </c>
    </row>
    <row r="80" spans="2:4">
      <c r="B80" t="s">
        <v>161</v>
      </c>
      <c r="C80" t="s">
        <v>194</v>
      </c>
    </row>
    <row r="81" spans="2:5">
      <c r="B81" t="s">
        <v>166</v>
      </c>
      <c r="C81" t="s">
        <v>194</v>
      </c>
    </row>
    <row r="82" spans="2:5">
      <c r="B82" t="s">
        <v>190</v>
      </c>
      <c r="C82" t="s">
        <v>194</v>
      </c>
    </row>
    <row r="83" spans="2:5">
      <c r="B83" t="s">
        <v>182</v>
      </c>
      <c r="C83" t="s">
        <v>194</v>
      </c>
    </row>
    <row r="84" spans="2:5">
      <c r="B84" t="s">
        <v>123</v>
      </c>
      <c r="C84" t="s">
        <v>195</v>
      </c>
    </row>
    <row r="86" spans="2:5" ht="15">
      <c r="B86" s="18" t="s">
        <v>173</v>
      </c>
    </row>
    <row r="88" spans="2:5" ht="15" customHeight="1">
      <c r="B88" s="29" t="s">
        <v>196</v>
      </c>
      <c r="C88" s="29"/>
      <c r="D88" s="29"/>
      <c r="E88" s="29"/>
    </row>
    <row r="89" spans="2:5">
      <c r="B89" s="29"/>
      <c r="C89" s="29"/>
      <c r="D89" s="29"/>
      <c r="E89" s="29"/>
    </row>
    <row r="90" spans="2:5">
      <c r="B90" s="29"/>
      <c r="C90" s="29"/>
      <c r="D90" s="29"/>
      <c r="E90" s="29"/>
    </row>
    <row r="92" spans="2:5" ht="18">
      <c r="B92" s="23" t="s">
        <v>197</v>
      </c>
    </row>
    <row r="94" spans="2:5" ht="15">
      <c r="B94" s="18" t="s">
        <v>198</v>
      </c>
    </row>
    <row r="95" spans="2:5" ht="15">
      <c r="B95" s="18" t="s">
        <v>199</v>
      </c>
    </row>
    <row r="96" spans="2:5" ht="15">
      <c r="B96" s="18" t="s">
        <v>200</v>
      </c>
    </row>
    <row r="97" spans="2:6" ht="15">
      <c r="B97" s="18" t="s">
        <v>201</v>
      </c>
    </row>
    <row r="98" spans="2:6" ht="15">
      <c r="B98" s="18" t="s">
        <v>202</v>
      </c>
    </row>
    <row r="100" spans="2:6" ht="18">
      <c r="B100" s="23" t="s">
        <v>203</v>
      </c>
    </row>
    <row r="102" spans="2:6" ht="15" customHeight="1">
      <c r="B102" s="28" t="s">
        <v>204</v>
      </c>
      <c r="C102" s="30"/>
      <c r="D102" s="30"/>
      <c r="E102" s="30"/>
      <c r="F102" s="30"/>
    </row>
    <row r="103" spans="2:6">
      <c r="B103" s="30"/>
      <c r="C103" s="30"/>
      <c r="D103" s="30"/>
      <c r="E103" s="30"/>
      <c r="F103" s="30"/>
    </row>
    <row r="104" spans="2:6">
      <c r="B104" s="30"/>
      <c r="C104" s="30"/>
      <c r="D104" s="30"/>
      <c r="E104" s="30"/>
      <c r="F104" s="30"/>
    </row>
    <row r="105" spans="2:6" ht="15" customHeight="1">
      <c r="B105" s="30"/>
      <c r="C105" s="30"/>
      <c r="D105" s="30"/>
      <c r="E105" s="30"/>
      <c r="F105" s="30"/>
    </row>
    <row r="106" spans="2:6">
      <c r="B106" s="30"/>
      <c r="C106" s="30"/>
      <c r="D106" s="30"/>
      <c r="E106" s="30"/>
      <c r="F106" s="30"/>
    </row>
    <row r="107" spans="2:6">
      <c r="B107" s="30"/>
      <c r="C107" s="30"/>
      <c r="D107" s="30"/>
      <c r="E107" s="30"/>
      <c r="F107" s="30"/>
    </row>
    <row r="108" spans="2:6" ht="15" customHeight="1">
      <c r="B108" s="30"/>
      <c r="C108" s="30"/>
      <c r="D108" s="30"/>
      <c r="E108" s="30"/>
      <c r="F108" s="30"/>
    </row>
    <row r="109" spans="2:6">
      <c r="B109" s="30"/>
      <c r="C109" s="30"/>
      <c r="D109" s="30"/>
      <c r="E109" s="30"/>
      <c r="F109" s="30"/>
    </row>
    <row r="110" spans="2:6">
      <c r="B110" s="30"/>
      <c r="C110" s="30"/>
      <c r="D110" s="30"/>
      <c r="E110" s="30"/>
      <c r="F110" s="30"/>
    </row>
    <row r="111" spans="2:6">
      <c r="B111" s="30"/>
      <c r="C111" s="30"/>
      <c r="D111" s="30"/>
      <c r="E111" s="30"/>
      <c r="F111" s="30"/>
    </row>
  </sheetData>
  <mergeCells count="4">
    <mergeCell ref="B33:G40"/>
    <mergeCell ref="B59:F62"/>
    <mergeCell ref="B88:E90"/>
    <mergeCell ref="B102:F1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election activeCell="A13" sqref="A13:B13"/>
    </sheetView>
  </sheetViews>
  <sheetFormatPr baseColWidth="10" defaultColWidth="8.83203125" defaultRowHeight="14"/>
  <cols>
    <col min="1" max="2" width="28" customWidth="1"/>
  </cols>
  <sheetData>
    <row r="1" spans="1:2" ht="37.25" customHeight="1">
      <c r="A1" s="2" t="s">
        <v>102</v>
      </c>
      <c r="B1" s="2" t="s">
        <v>103</v>
      </c>
    </row>
    <row r="2" spans="1:2" ht="15">
      <c r="A2" s="4" t="s">
        <v>0</v>
      </c>
      <c r="B2" s="4" t="s">
        <v>104</v>
      </c>
    </row>
    <row r="3" spans="1:2" ht="15">
      <c r="A3" s="4" t="s">
        <v>1</v>
      </c>
      <c r="B3" s="4" t="s">
        <v>105</v>
      </c>
    </row>
    <row r="4" spans="1:2" ht="15">
      <c r="A4" s="4" t="s">
        <v>2</v>
      </c>
      <c r="B4" s="4" t="s">
        <v>106</v>
      </c>
    </row>
    <row r="5" spans="1:2" ht="30">
      <c r="A5" s="4" t="s">
        <v>3</v>
      </c>
      <c r="B5" s="4" t="s">
        <v>107</v>
      </c>
    </row>
    <row r="6" spans="1:2" ht="30">
      <c r="A6" s="4" t="s">
        <v>4</v>
      </c>
      <c r="B6" s="4" t="s">
        <v>108</v>
      </c>
    </row>
    <row r="7" spans="1:2" ht="15">
      <c r="A7" s="4" t="s">
        <v>5</v>
      </c>
      <c r="B7" s="4" t="s">
        <v>109</v>
      </c>
    </row>
    <row r="8" spans="1:2" ht="30">
      <c r="A8" s="4" t="s">
        <v>6</v>
      </c>
      <c r="B8" s="4" t="s">
        <v>110</v>
      </c>
    </row>
    <row r="9" spans="1:2" ht="15">
      <c r="A9" s="4" t="s">
        <v>7</v>
      </c>
      <c r="B9" s="4" t="s">
        <v>111</v>
      </c>
    </row>
    <row r="10" spans="1:2" ht="30">
      <c r="A10" s="4" t="s">
        <v>8</v>
      </c>
      <c r="B10" s="4" t="s">
        <v>112</v>
      </c>
    </row>
    <row r="11" spans="1:2" ht="15">
      <c r="A11" s="4" t="s">
        <v>9</v>
      </c>
      <c r="B11" s="4" t="s">
        <v>113</v>
      </c>
    </row>
    <row r="12" spans="1:2" ht="45">
      <c r="A12" s="4" t="s">
        <v>10</v>
      </c>
      <c r="B12" s="4" t="s">
        <v>114</v>
      </c>
    </row>
    <row r="13" spans="1:2" ht="15">
      <c r="A13" s="4" t="s">
        <v>11</v>
      </c>
      <c r="B13" s="4" t="s">
        <v>115</v>
      </c>
    </row>
    <row r="14" spans="1:2" ht="30">
      <c r="A14" s="4" t="s">
        <v>12</v>
      </c>
      <c r="B14" s="4" t="s">
        <v>116</v>
      </c>
    </row>
    <row r="15" spans="1:2" ht="30">
      <c r="A15" s="4" t="s">
        <v>13</v>
      </c>
      <c r="B15" s="4" t="s">
        <v>117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D2568-9AC5-CB43-8276-D111BFE588BD}">
  <dimension ref="A1:V324"/>
  <sheetViews>
    <sheetView topLeftCell="E1" zoomScale="80" zoomScaleNormal="80" workbookViewId="0">
      <pane ySplit="1" topLeftCell="A2" activePane="bottomLeft" state="frozen"/>
      <selection pane="bottomLeft" activeCell="W10" sqref="W10"/>
    </sheetView>
  </sheetViews>
  <sheetFormatPr baseColWidth="10" defaultColWidth="8.83203125" defaultRowHeight="14"/>
  <cols>
    <col min="1" max="1" width="10.6640625" customWidth="1"/>
    <col min="2" max="2" width="14.33203125" customWidth="1"/>
    <col min="3" max="3" width="10.1640625" customWidth="1"/>
    <col min="4" max="4" width="13.6640625" customWidth="1"/>
    <col min="5" max="5" width="18.83203125" customWidth="1"/>
    <col min="6" max="6" width="13.1640625" customWidth="1"/>
    <col min="7" max="8" width="16" customWidth="1"/>
    <col min="9" max="9" width="14" customWidth="1"/>
    <col min="10" max="15" width="16" customWidth="1"/>
    <col min="16" max="19" width="14" customWidth="1"/>
    <col min="20" max="20" width="16" customWidth="1"/>
    <col min="21" max="21" width="16.83203125" customWidth="1"/>
    <col min="22" max="22" width="13.83203125" customWidth="1"/>
  </cols>
  <sheetData>
    <row r="1" spans="1:22" ht="37.25" customHeight="1">
      <c r="A1" s="2" t="s">
        <v>0</v>
      </c>
      <c r="B1" s="2" t="s">
        <v>1</v>
      </c>
      <c r="C1" s="2" t="s">
        <v>2</v>
      </c>
      <c r="D1" s="2" t="s">
        <v>3</v>
      </c>
      <c r="E1" s="22" t="s">
        <v>4</v>
      </c>
      <c r="F1" s="22" t="s">
        <v>5</v>
      </c>
      <c r="G1" s="22" t="s">
        <v>8</v>
      </c>
      <c r="H1" s="22" t="s">
        <v>11</v>
      </c>
      <c r="I1" s="22" t="s">
        <v>123</v>
      </c>
      <c r="J1" s="2" t="s">
        <v>6</v>
      </c>
      <c r="K1" s="2" t="s">
        <v>7</v>
      </c>
      <c r="L1" s="2" t="s">
        <v>9</v>
      </c>
      <c r="M1" s="2" t="s">
        <v>10</v>
      </c>
      <c r="N1" s="22" t="s">
        <v>12</v>
      </c>
      <c r="O1" s="2" t="s">
        <v>13</v>
      </c>
      <c r="P1" s="7" t="s">
        <v>118</v>
      </c>
      <c r="Q1" s="7" t="s">
        <v>119</v>
      </c>
      <c r="R1" s="7" t="s">
        <v>120</v>
      </c>
      <c r="S1" s="7" t="s">
        <v>121</v>
      </c>
      <c r="T1" s="7" t="s">
        <v>122</v>
      </c>
      <c r="U1" s="27" t="s">
        <v>205</v>
      </c>
      <c r="V1" s="27" t="s">
        <v>206</v>
      </c>
    </row>
    <row r="2" spans="1:22">
      <c r="A2" t="s">
        <v>85</v>
      </c>
      <c r="B2" s="3">
        <v>45689</v>
      </c>
      <c r="C2" t="s">
        <v>24</v>
      </c>
      <c r="D2" t="s">
        <v>21</v>
      </c>
      <c r="E2">
        <v>63582.11</v>
      </c>
      <c r="F2">
        <v>6856</v>
      </c>
      <c r="G2">
        <v>89.5</v>
      </c>
      <c r="H2">
        <v>3.2</v>
      </c>
      <c r="I2">
        <f t="shared" ref="I2:I65" si="0">IF(D2="Mall",1,0)</f>
        <v>0</v>
      </c>
      <c r="J2">
        <v>7.3999999999999996E-2</v>
      </c>
      <c r="K2">
        <v>17</v>
      </c>
      <c r="L2">
        <v>5.48</v>
      </c>
      <c r="M2">
        <v>0</v>
      </c>
      <c r="N2">
        <v>799046.94</v>
      </c>
      <c r="O2">
        <v>144553.64000000001</v>
      </c>
      <c r="P2">
        <f t="shared" ref="P2:P65" si="1">IF(C2="North",1,0)</f>
        <v>0</v>
      </c>
      <c r="Q2">
        <f t="shared" ref="Q2:Q65" si="2">IF(C2="South",1,0)</f>
        <v>1</v>
      </c>
      <c r="R2">
        <f t="shared" ref="R2:R65" si="3">IF(C2="East",1,0)</f>
        <v>0</v>
      </c>
      <c r="S2">
        <f t="shared" ref="S2:S65" si="4">IF(D2="Airport",1,0)</f>
        <v>1</v>
      </c>
      <c r="T2">
        <f t="shared" ref="T2:T65" si="5">IF(D2="High Street",1,0)</f>
        <v>0</v>
      </c>
      <c r="U2">
        <f t="shared" ref="U2:U65" si="6">79514.81031
+(1.186491387*E2)
+(33.72856095*F2)
+(3039.885495*G2)
+(10421.66592*H2)
+(15257.56777*I2)</f>
        <v>691616.53281198663</v>
      </c>
      <c r="V2">
        <f t="shared" ref="V2:V65" si="7">N2-U2</f>
        <v>107430.40718801331</v>
      </c>
    </row>
    <row r="3" spans="1:22">
      <c r="A3" t="s">
        <v>49</v>
      </c>
      <c r="B3" s="3">
        <v>45748</v>
      </c>
      <c r="C3" t="s">
        <v>15</v>
      </c>
      <c r="D3" t="s">
        <v>28</v>
      </c>
      <c r="E3">
        <v>52758.01</v>
      </c>
      <c r="F3">
        <v>4063</v>
      </c>
      <c r="G3">
        <v>91.7</v>
      </c>
      <c r="H3">
        <v>3.5</v>
      </c>
      <c r="I3">
        <f t="shared" si="0"/>
        <v>1</v>
      </c>
      <c r="J3">
        <v>5.7000000000000002E-2</v>
      </c>
      <c r="K3">
        <v>12</v>
      </c>
      <c r="L3">
        <v>0.92</v>
      </c>
      <c r="M3">
        <v>0</v>
      </c>
      <c r="N3">
        <v>713611.16</v>
      </c>
      <c r="O3">
        <v>129717.18</v>
      </c>
      <c r="P3">
        <f t="shared" si="1"/>
        <v>0</v>
      </c>
      <c r="Q3">
        <f t="shared" si="2"/>
        <v>0</v>
      </c>
      <c r="R3">
        <f t="shared" si="3"/>
        <v>1</v>
      </c>
      <c r="S3">
        <f t="shared" si="4"/>
        <v>0</v>
      </c>
      <c r="T3">
        <f t="shared" si="5"/>
        <v>0</v>
      </c>
      <c r="U3">
        <f t="shared" si="6"/>
        <v>609641.77629160986</v>
      </c>
      <c r="V3">
        <f t="shared" si="7"/>
        <v>103969.38370839017</v>
      </c>
    </row>
    <row r="4" spans="1:22">
      <c r="A4" t="s">
        <v>90</v>
      </c>
      <c r="B4" s="3">
        <v>45748</v>
      </c>
      <c r="C4" t="s">
        <v>27</v>
      </c>
      <c r="D4" t="s">
        <v>18</v>
      </c>
      <c r="E4">
        <v>38297.58</v>
      </c>
      <c r="F4">
        <v>5893</v>
      </c>
      <c r="G4">
        <v>77.599999999999994</v>
      </c>
      <c r="H4">
        <v>3</v>
      </c>
      <c r="I4">
        <f t="shared" si="0"/>
        <v>0</v>
      </c>
      <c r="J4">
        <v>0.247</v>
      </c>
      <c r="K4">
        <v>18</v>
      </c>
      <c r="L4">
        <v>2.86</v>
      </c>
      <c r="M4">
        <v>0</v>
      </c>
      <c r="N4">
        <v>686737.87</v>
      </c>
      <c r="O4">
        <v>83839.67</v>
      </c>
      <c r="P4">
        <f t="shared" si="1"/>
        <v>0</v>
      </c>
      <c r="Q4">
        <f t="shared" si="2"/>
        <v>0</v>
      </c>
      <c r="R4">
        <f t="shared" si="3"/>
        <v>0</v>
      </c>
      <c r="S4">
        <f t="shared" si="4"/>
        <v>0</v>
      </c>
      <c r="T4">
        <f t="shared" si="5"/>
        <v>1</v>
      </c>
      <c r="U4">
        <f t="shared" si="6"/>
        <v>590877.0809732934</v>
      </c>
      <c r="V4">
        <f t="shared" si="7"/>
        <v>95860.789026706596</v>
      </c>
    </row>
    <row r="5" spans="1:22">
      <c r="A5" t="s">
        <v>72</v>
      </c>
      <c r="B5" s="3">
        <v>45689</v>
      </c>
      <c r="C5" t="s">
        <v>15</v>
      </c>
      <c r="D5" t="s">
        <v>21</v>
      </c>
      <c r="E5">
        <v>78111.97</v>
      </c>
      <c r="F5">
        <v>6389</v>
      </c>
      <c r="G5">
        <v>83.9</v>
      </c>
      <c r="H5">
        <v>4.8</v>
      </c>
      <c r="I5">
        <f t="shared" si="0"/>
        <v>0</v>
      </c>
      <c r="J5">
        <v>0.15</v>
      </c>
      <c r="K5">
        <v>13</v>
      </c>
      <c r="L5">
        <v>3.05</v>
      </c>
      <c r="M5">
        <v>0</v>
      </c>
      <c r="N5">
        <v>787715.51</v>
      </c>
      <c r="O5">
        <v>128969.62</v>
      </c>
      <c r="P5">
        <f t="shared" si="1"/>
        <v>0</v>
      </c>
      <c r="Q5">
        <f t="shared" si="2"/>
        <v>0</v>
      </c>
      <c r="R5">
        <f t="shared" si="3"/>
        <v>1</v>
      </c>
      <c r="S5">
        <f t="shared" si="4"/>
        <v>1</v>
      </c>
      <c r="T5">
        <f t="shared" si="5"/>
        <v>0</v>
      </c>
      <c r="U5">
        <f t="shared" si="6"/>
        <v>692756.15529265243</v>
      </c>
      <c r="V5">
        <f t="shared" si="7"/>
        <v>94959.354707347578</v>
      </c>
    </row>
    <row r="6" spans="1:22">
      <c r="A6" t="s">
        <v>53</v>
      </c>
      <c r="B6" s="3">
        <v>45658</v>
      </c>
      <c r="C6" t="s">
        <v>24</v>
      </c>
      <c r="D6" t="s">
        <v>18</v>
      </c>
      <c r="E6">
        <v>61541.21</v>
      </c>
      <c r="F6">
        <v>10396</v>
      </c>
      <c r="G6">
        <v>88.1</v>
      </c>
      <c r="H6">
        <v>4.8</v>
      </c>
      <c r="I6">
        <f t="shared" si="0"/>
        <v>0</v>
      </c>
      <c r="J6">
        <v>0.123</v>
      </c>
      <c r="K6">
        <v>25</v>
      </c>
      <c r="L6">
        <v>2.34</v>
      </c>
      <c r="M6">
        <v>1</v>
      </c>
      <c r="N6">
        <v>914544.17</v>
      </c>
      <c r="O6">
        <v>79831.73</v>
      </c>
      <c r="P6">
        <f t="shared" si="1"/>
        <v>0</v>
      </c>
      <c r="Q6">
        <f t="shared" si="2"/>
        <v>1</v>
      </c>
      <c r="R6">
        <f t="shared" si="3"/>
        <v>0</v>
      </c>
      <c r="S6">
        <f t="shared" si="4"/>
        <v>0</v>
      </c>
      <c r="T6">
        <f t="shared" si="5"/>
        <v>1</v>
      </c>
      <c r="U6">
        <f t="shared" si="6"/>
        <v>821012.95408225828</v>
      </c>
      <c r="V6">
        <f t="shared" si="7"/>
        <v>93531.215917741763</v>
      </c>
    </row>
    <row r="7" spans="1:22">
      <c r="A7" t="s">
        <v>96</v>
      </c>
      <c r="B7" s="3">
        <v>45689</v>
      </c>
      <c r="C7" t="s">
        <v>27</v>
      </c>
      <c r="D7" t="s">
        <v>18</v>
      </c>
      <c r="E7">
        <v>55477.61</v>
      </c>
      <c r="F7">
        <v>5903</v>
      </c>
      <c r="G7">
        <v>96.2</v>
      </c>
      <c r="H7">
        <v>3.3</v>
      </c>
      <c r="I7">
        <f t="shared" si="0"/>
        <v>0</v>
      </c>
      <c r="J7">
        <v>0.10199999999999999</v>
      </c>
      <c r="K7">
        <v>14</v>
      </c>
      <c r="L7">
        <v>1.41</v>
      </c>
      <c r="M7">
        <v>0</v>
      </c>
      <c r="N7">
        <v>763162.45</v>
      </c>
      <c r="O7">
        <v>162524.04999999999</v>
      </c>
      <c r="P7">
        <f t="shared" si="1"/>
        <v>0</v>
      </c>
      <c r="Q7">
        <f t="shared" si="2"/>
        <v>0</v>
      </c>
      <c r="R7">
        <f t="shared" si="3"/>
        <v>0</v>
      </c>
      <c r="S7">
        <f t="shared" si="4"/>
        <v>0</v>
      </c>
      <c r="T7">
        <f t="shared" si="5"/>
        <v>1</v>
      </c>
      <c r="U7">
        <f t="shared" si="6"/>
        <v>671266.69418919506</v>
      </c>
      <c r="V7">
        <f t="shared" si="7"/>
        <v>91895.755810804898</v>
      </c>
    </row>
    <row r="8" spans="1:22">
      <c r="A8" t="s">
        <v>94</v>
      </c>
      <c r="B8" s="3">
        <v>45717</v>
      </c>
      <c r="C8" t="s">
        <v>15</v>
      </c>
      <c r="D8" t="s">
        <v>16</v>
      </c>
      <c r="E8">
        <v>56737.3</v>
      </c>
      <c r="F8">
        <v>8300</v>
      </c>
      <c r="G8">
        <v>83.2</v>
      </c>
      <c r="H8">
        <v>4.3</v>
      </c>
      <c r="I8">
        <f t="shared" si="0"/>
        <v>0</v>
      </c>
      <c r="J8">
        <v>3.2000000000000001E-2</v>
      </c>
      <c r="K8">
        <v>21</v>
      </c>
      <c r="L8">
        <v>3.44</v>
      </c>
      <c r="M8">
        <v>1</v>
      </c>
      <c r="N8">
        <v>813316.71</v>
      </c>
      <c r="O8">
        <v>110077.42</v>
      </c>
      <c r="P8">
        <f t="shared" si="1"/>
        <v>0</v>
      </c>
      <c r="Q8">
        <f t="shared" si="2"/>
        <v>0</v>
      </c>
      <c r="R8">
        <f t="shared" si="3"/>
        <v>1</v>
      </c>
      <c r="S8">
        <f t="shared" si="4"/>
        <v>0</v>
      </c>
      <c r="T8">
        <f t="shared" si="5"/>
        <v>0</v>
      </c>
      <c r="U8">
        <f t="shared" si="6"/>
        <v>724511.82060663518</v>
      </c>
      <c r="V8">
        <f t="shared" si="7"/>
        <v>88804.889393364778</v>
      </c>
    </row>
    <row r="9" spans="1:22">
      <c r="A9" t="s">
        <v>19</v>
      </c>
      <c r="B9" s="3">
        <v>45658</v>
      </c>
      <c r="C9" t="s">
        <v>20</v>
      </c>
      <c r="D9" t="s">
        <v>21</v>
      </c>
      <c r="E9">
        <v>71838.86</v>
      </c>
      <c r="F9">
        <v>10979</v>
      </c>
      <c r="G9">
        <v>88.6</v>
      </c>
      <c r="H9">
        <v>3.8</v>
      </c>
      <c r="I9">
        <f t="shared" si="0"/>
        <v>0</v>
      </c>
      <c r="J9">
        <v>0.215</v>
      </c>
      <c r="K9">
        <v>26</v>
      </c>
      <c r="L9">
        <v>7.7</v>
      </c>
      <c r="M9">
        <v>1</v>
      </c>
      <c r="N9">
        <v>930581.7</v>
      </c>
      <c r="O9">
        <v>136207.98000000001</v>
      </c>
      <c r="P9">
        <f t="shared" si="1"/>
        <v>1</v>
      </c>
      <c r="Q9">
        <f t="shared" si="2"/>
        <v>0</v>
      </c>
      <c r="R9">
        <f t="shared" si="3"/>
        <v>0</v>
      </c>
      <c r="S9">
        <f t="shared" si="4"/>
        <v>1</v>
      </c>
      <c r="T9">
        <f t="shared" si="5"/>
        <v>0</v>
      </c>
      <c r="U9">
        <f t="shared" si="6"/>
        <v>843993.05497494887</v>
      </c>
      <c r="V9">
        <f t="shared" si="7"/>
        <v>86588.645025051082</v>
      </c>
    </row>
    <row r="10" spans="1:22">
      <c r="A10" t="s">
        <v>48</v>
      </c>
      <c r="B10" s="3">
        <v>45717</v>
      </c>
      <c r="C10" t="s">
        <v>27</v>
      </c>
      <c r="D10" t="s">
        <v>18</v>
      </c>
      <c r="E10">
        <v>64294.23</v>
      </c>
      <c r="F10">
        <v>6992</v>
      </c>
      <c r="G10">
        <v>94.1</v>
      </c>
      <c r="H10">
        <v>3</v>
      </c>
      <c r="I10">
        <f t="shared" si="0"/>
        <v>0</v>
      </c>
      <c r="J10">
        <v>0.13300000000000001</v>
      </c>
      <c r="K10">
        <v>14</v>
      </c>
      <c r="L10">
        <v>0.25</v>
      </c>
      <c r="M10">
        <v>0</v>
      </c>
      <c r="N10">
        <v>795153.84</v>
      </c>
      <c r="O10">
        <v>143194.21</v>
      </c>
      <c r="P10">
        <f t="shared" si="1"/>
        <v>0</v>
      </c>
      <c r="Q10">
        <f t="shared" si="2"/>
        <v>0</v>
      </c>
      <c r="R10">
        <f t="shared" si="3"/>
        <v>0</v>
      </c>
      <c r="S10">
        <f t="shared" si="4"/>
        <v>0</v>
      </c>
      <c r="T10">
        <f t="shared" si="5"/>
        <v>1</v>
      </c>
      <c r="U10">
        <f t="shared" si="6"/>
        <v>708947.68144069705</v>
      </c>
      <c r="V10">
        <f t="shared" si="7"/>
        <v>86206.158559302916</v>
      </c>
    </row>
    <row r="11" spans="1:22">
      <c r="A11" t="s">
        <v>62</v>
      </c>
      <c r="B11" s="3">
        <v>45689</v>
      </c>
      <c r="C11" t="s">
        <v>24</v>
      </c>
      <c r="D11" t="s">
        <v>18</v>
      </c>
      <c r="E11">
        <v>48438.85</v>
      </c>
      <c r="F11">
        <v>6992</v>
      </c>
      <c r="G11">
        <v>91</v>
      </c>
      <c r="H11">
        <v>4.2</v>
      </c>
      <c r="I11">
        <f t="shared" si="0"/>
        <v>0</v>
      </c>
      <c r="J11">
        <v>3.4000000000000002E-2</v>
      </c>
      <c r="K11">
        <v>20</v>
      </c>
      <c r="L11">
        <v>4.3600000000000003</v>
      </c>
      <c r="M11">
        <v>0</v>
      </c>
      <c r="N11">
        <v>778298.88</v>
      </c>
      <c r="O11">
        <v>130076.72</v>
      </c>
      <c r="P11">
        <f t="shared" si="1"/>
        <v>0</v>
      </c>
      <c r="Q11">
        <f t="shared" si="2"/>
        <v>1</v>
      </c>
      <c r="R11">
        <f t="shared" si="3"/>
        <v>0</v>
      </c>
      <c r="S11">
        <f t="shared" si="4"/>
        <v>0</v>
      </c>
      <c r="T11">
        <f t="shared" si="5"/>
        <v>1</v>
      </c>
      <c r="U11">
        <f t="shared" si="6"/>
        <v>693217.76370258501</v>
      </c>
      <c r="V11">
        <f t="shared" si="7"/>
        <v>85081.116297414992</v>
      </c>
    </row>
    <row r="12" spans="1:22">
      <c r="A12" t="s">
        <v>66</v>
      </c>
      <c r="B12" s="3">
        <v>45689</v>
      </c>
      <c r="C12" t="s">
        <v>27</v>
      </c>
      <c r="D12" t="s">
        <v>21</v>
      </c>
      <c r="E12">
        <v>29389.32</v>
      </c>
      <c r="F12">
        <v>7925</v>
      </c>
      <c r="G12">
        <v>90.9</v>
      </c>
      <c r="H12">
        <v>4</v>
      </c>
      <c r="I12">
        <f t="shared" si="0"/>
        <v>0</v>
      </c>
      <c r="J12">
        <v>0.17699999999999999</v>
      </c>
      <c r="K12">
        <v>21</v>
      </c>
      <c r="L12">
        <v>7.86</v>
      </c>
      <c r="M12">
        <v>0</v>
      </c>
      <c r="N12">
        <v>783582</v>
      </c>
      <c r="O12">
        <v>130670.93</v>
      </c>
      <c r="P12">
        <f t="shared" si="1"/>
        <v>0</v>
      </c>
      <c r="Q12">
        <f t="shared" si="2"/>
        <v>0</v>
      </c>
      <c r="R12">
        <f t="shared" si="3"/>
        <v>0</v>
      </c>
      <c r="S12">
        <f t="shared" si="4"/>
        <v>1</v>
      </c>
      <c r="T12">
        <f t="shared" si="5"/>
        <v>0</v>
      </c>
      <c r="U12">
        <f t="shared" si="6"/>
        <v>699696.08606403694</v>
      </c>
      <c r="V12">
        <f t="shared" si="7"/>
        <v>83885.913935963064</v>
      </c>
    </row>
    <row r="13" spans="1:22">
      <c r="A13" t="s">
        <v>51</v>
      </c>
      <c r="B13" s="3">
        <v>45689</v>
      </c>
      <c r="C13" t="s">
        <v>27</v>
      </c>
      <c r="D13" t="s">
        <v>16</v>
      </c>
      <c r="E13">
        <v>57360.01</v>
      </c>
      <c r="F13">
        <v>8434</v>
      </c>
      <c r="G13">
        <v>84.1</v>
      </c>
      <c r="H13">
        <v>4.7</v>
      </c>
      <c r="I13">
        <f t="shared" si="0"/>
        <v>0</v>
      </c>
      <c r="J13">
        <v>0.151</v>
      </c>
      <c r="K13">
        <v>19</v>
      </c>
      <c r="L13">
        <v>1.56</v>
      </c>
      <c r="M13">
        <v>0</v>
      </c>
      <c r="N13">
        <v>820519.04</v>
      </c>
      <c r="O13">
        <v>99035.88</v>
      </c>
      <c r="P13">
        <f t="shared" si="1"/>
        <v>0</v>
      </c>
      <c r="Q13">
        <f t="shared" si="2"/>
        <v>0</v>
      </c>
      <c r="R13">
        <f t="shared" si="3"/>
        <v>0</v>
      </c>
      <c r="S13">
        <f t="shared" si="4"/>
        <v>0</v>
      </c>
      <c r="T13">
        <f t="shared" si="5"/>
        <v>0</v>
      </c>
      <c r="U13">
        <f t="shared" si="6"/>
        <v>736674.85113903391</v>
      </c>
      <c r="V13">
        <f t="shared" si="7"/>
        <v>83844.188860966126</v>
      </c>
    </row>
    <row r="14" spans="1:22">
      <c r="A14" t="s">
        <v>86</v>
      </c>
      <c r="B14" s="3">
        <v>45658</v>
      </c>
      <c r="C14" t="s">
        <v>24</v>
      </c>
      <c r="D14" t="s">
        <v>28</v>
      </c>
      <c r="E14">
        <v>65272.58</v>
      </c>
      <c r="F14">
        <v>8165</v>
      </c>
      <c r="G14">
        <v>87.8</v>
      </c>
      <c r="H14">
        <v>4.3</v>
      </c>
      <c r="I14">
        <f t="shared" si="0"/>
        <v>1</v>
      </c>
      <c r="J14">
        <v>5.0999999999999997E-2</v>
      </c>
      <c r="K14">
        <v>19</v>
      </c>
      <c r="L14">
        <v>1.26</v>
      </c>
      <c r="M14">
        <v>1</v>
      </c>
      <c r="N14">
        <v>840108.12</v>
      </c>
      <c r="O14">
        <v>126587.01</v>
      </c>
      <c r="P14">
        <f t="shared" si="1"/>
        <v>0</v>
      </c>
      <c r="Q14">
        <f t="shared" si="2"/>
        <v>1</v>
      </c>
      <c r="R14">
        <f t="shared" si="3"/>
        <v>0</v>
      </c>
      <c r="S14">
        <f t="shared" si="4"/>
        <v>0</v>
      </c>
      <c r="T14">
        <f t="shared" si="5"/>
        <v>0</v>
      </c>
      <c r="U14">
        <f t="shared" si="6"/>
        <v>759326.54213101859</v>
      </c>
      <c r="V14">
        <f t="shared" si="7"/>
        <v>80781.577868981403</v>
      </c>
    </row>
    <row r="15" spans="1:22">
      <c r="A15" t="s">
        <v>47</v>
      </c>
      <c r="B15" s="3">
        <v>45748</v>
      </c>
      <c r="C15" t="s">
        <v>15</v>
      </c>
      <c r="D15" t="s">
        <v>28</v>
      </c>
      <c r="E15">
        <v>32266.639999999999</v>
      </c>
      <c r="F15">
        <v>2414</v>
      </c>
      <c r="G15">
        <v>92.1</v>
      </c>
      <c r="H15">
        <v>5</v>
      </c>
      <c r="I15">
        <f t="shared" si="0"/>
        <v>1</v>
      </c>
      <c r="J15">
        <v>0.08</v>
      </c>
      <c r="K15">
        <v>7</v>
      </c>
      <c r="L15">
        <v>1.48</v>
      </c>
      <c r="M15">
        <v>0</v>
      </c>
      <c r="N15">
        <v>625514.04</v>
      </c>
      <c r="O15">
        <v>120685.08</v>
      </c>
      <c r="P15">
        <f t="shared" si="1"/>
        <v>0</v>
      </c>
      <c r="Q15">
        <f t="shared" si="2"/>
        <v>0</v>
      </c>
      <c r="R15">
        <f t="shared" si="3"/>
        <v>1</v>
      </c>
      <c r="S15">
        <f t="shared" si="4"/>
        <v>0</v>
      </c>
      <c r="T15">
        <f t="shared" si="5"/>
        <v>0</v>
      </c>
      <c r="U15">
        <f t="shared" si="6"/>
        <v>546558.9983502297</v>
      </c>
      <c r="V15">
        <f t="shared" si="7"/>
        <v>78955.041649770341</v>
      </c>
    </row>
    <row r="16" spans="1:22">
      <c r="A16" t="s">
        <v>80</v>
      </c>
      <c r="B16" s="3">
        <v>45689</v>
      </c>
      <c r="C16" t="s">
        <v>27</v>
      </c>
      <c r="D16" t="s">
        <v>16</v>
      </c>
      <c r="E16">
        <v>61650.79</v>
      </c>
      <c r="F16">
        <v>5321</v>
      </c>
      <c r="G16">
        <v>89.2</v>
      </c>
      <c r="H16">
        <v>4</v>
      </c>
      <c r="I16">
        <f t="shared" si="0"/>
        <v>0</v>
      </c>
      <c r="J16">
        <v>0.126</v>
      </c>
      <c r="K16">
        <v>17</v>
      </c>
      <c r="L16">
        <v>2.13</v>
      </c>
      <c r="M16">
        <v>0</v>
      </c>
      <c r="N16">
        <v>723305.11</v>
      </c>
      <c r="O16">
        <v>128468.7</v>
      </c>
      <c r="P16">
        <f t="shared" si="1"/>
        <v>0</v>
      </c>
      <c r="Q16">
        <f t="shared" si="2"/>
        <v>0</v>
      </c>
      <c r="R16">
        <f t="shared" si="3"/>
        <v>0</v>
      </c>
      <c r="S16">
        <f t="shared" si="4"/>
        <v>0</v>
      </c>
      <c r="T16">
        <f t="shared" si="5"/>
        <v>0</v>
      </c>
      <c r="U16">
        <f t="shared" si="6"/>
        <v>644977.06429569575</v>
      </c>
      <c r="V16">
        <f t="shared" si="7"/>
        <v>78328.045704304241</v>
      </c>
    </row>
    <row r="17" spans="1:22">
      <c r="A17" t="s">
        <v>66</v>
      </c>
      <c r="B17" s="3">
        <v>45748</v>
      </c>
      <c r="C17" t="s">
        <v>27</v>
      </c>
      <c r="D17" t="s">
        <v>21</v>
      </c>
      <c r="E17">
        <v>74881.56</v>
      </c>
      <c r="F17">
        <v>9999</v>
      </c>
      <c r="G17">
        <v>89.6</v>
      </c>
      <c r="H17">
        <v>4.0999999999999996</v>
      </c>
      <c r="I17">
        <f t="shared" si="0"/>
        <v>0</v>
      </c>
      <c r="J17">
        <v>1.2999999999999999E-2</v>
      </c>
      <c r="K17">
        <v>20</v>
      </c>
      <c r="L17">
        <v>8.44</v>
      </c>
      <c r="M17">
        <v>0</v>
      </c>
      <c r="N17">
        <v>898031.04</v>
      </c>
      <c r="O17">
        <v>138666.5</v>
      </c>
      <c r="P17">
        <f t="shared" si="1"/>
        <v>0</v>
      </c>
      <c r="Q17">
        <f t="shared" si="2"/>
        <v>0</v>
      </c>
      <c r="R17">
        <f t="shared" si="3"/>
        <v>0</v>
      </c>
      <c r="S17">
        <f t="shared" si="4"/>
        <v>1</v>
      </c>
      <c r="T17">
        <f t="shared" si="5"/>
        <v>0</v>
      </c>
      <c r="U17">
        <f t="shared" si="6"/>
        <v>820715.58785817376</v>
      </c>
      <c r="V17">
        <f t="shared" si="7"/>
        <v>77315.452141826274</v>
      </c>
    </row>
    <row r="18" spans="1:22">
      <c r="A18" t="s">
        <v>42</v>
      </c>
      <c r="B18" s="3">
        <v>45717</v>
      </c>
      <c r="C18" t="s">
        <v>27</v>
      </c>
      <c r="D18" t="s">
        <v>28</v>
      </c>
      <c r="E18">
        <v>72731.14</v>
      </c>
      <c r="F18">
        <v>4644</v>
      </c>
      <c r="G18">
        <v>87.1</v>
      </c>
      <c r="H18">
        <v>4.5999999999999996</v>
      </c>
      <c r="I18">
        <f t="shared" si="0"/>
        <v>1</v>
      </c>
      <c r="J18">
        <v>8.4000000000000005E-2</v>
      </c>
      <c r="K18">
        <v>15</v>
      </c>
      <c r="L18">
        <v>2.66</v>
      </c>
      <c r="M18">
        <v>0</v>
      </c>
      <c r="N18">
        <v>727241.86</v>
      </c>
      <c r="O18">
        <v>155810.29999999999</v>
      </c>
      <c r="P18">
        <f t="shared" si="1"/>
        <v>0</v>
      </c>
      <c r="Q18">
        <f t="shared" si="2"/>
        <v>0</v>
      </c>
      <c r="R18">
        <f t="shared" si="3"/>
        <v>0</v>
      </c>
      <c r="S18">
        <f t="shared" si="4"/>
        <v>0</v>
      </c>
      <c r="T18">
        <f t="shared" si="5"/>
        <v>0</v>
      </c>
      <c r="U18">
        <f t="shared" si="6"/>
        <v>650416.3761549911</v>
      </c>
      <c r="V18">
        <f t="shared" si="7"/>
        <v>76825.483845008886</v>
      </c>
    </row>
    <row r="19" spans="1:22">
      <c r="A19" t="s">
        <v>87</v>
      </c>
      <c r="B19" s="3">
        <v>45717</v>
      </c>
      <c r="C19" t="s">
        <v>27</v>
      </c>
      <c r="D19" t="s">
        <v>18</v>
      </c>
      <c r="E19">
        <v>51450.55</v>
      </c>
      <c r="F19">
        <v>4902</v>
      </c>
      <c r="G19">
        <v>83.7</v>
      </c>
      <c r="H19">
        <v>4.2</v>
      </c>
      <c r="I19">
        <f t="shared" si="0"/>
        <v>0</v>
      </c>
      <c r="J19">
        <v>8.5999999999999993E-2</v>
      </c>
      <c r="K19">
        <v>11</v>
      </c>
      <c r="L19">
        <v>6.92</v>
      </c>
      <c r="M19">
        <v>1</v>
      </c>
      <c r="N19">
        <v>677640.65</v>
      </c>
      <c r="O19">
        <v>111610.89</v>
      </c>
      <c r="P19">
        <f t="shared" si="1"/>
        <v>0</v>
      </c>
      <c r="Q19">
        <f t="shared" si="2"/>
        <v>0</v>
      </c>
      <c r="R19">
        <f t="shared" si="3"/>
        <v>0</v>
      </c>
      <c r="S19">
        <f t="shared" si="4"/>
        <v>0</v>
      </c>
      <c r="T19">
        <f t="shared" si="5"/>
        <v>1</v>
      </c>
      <c r="U19">
        <f t="shared" si="6"/>
        <v>604107.2633138129</v>
      </c>
      <c r="V19">
        <f t="shared" si="7"/>
        <v>73533.386686187121</v>
      </c>
    </row>
    <row r="20" spans="1:22">
      <c r="A20" t="s">
        <v>37</v>
      </c>
      <c r="B20" s="3">
        <v>45658</v>
      </c>
      <c r="C20" t="s">
        <v>24</v>
      </c>
      <c r="D20" t="s">
        <v>18</v>
      </c>
      <c r="E20">
        <v>74907.98</v>
      </c>
      <c r="F20">
        <v>5306</v>
      </c>
      <c r="G20">
        <v>95.6</v>
      </c>
      <c r="H20">
        <v>3.7</v>
      </c>
      <c r="I20">
        <f t="shared" si="0"/>
        <v>0</v>
      </c>
      <c r="J20">
        <v>6.2E-2</v>
      </c>
      <c r="K20">
        <v>16</v>
      </c>
      <c r="L20">
        <v>1.02</v>
      </c>
      <c r="M20">
        <v>0</v>
      </c>
      <c r="N20">
        <v>749559.71</v>
      </c>
      <c r="O20">
        <v>144522.53</v>
      </c>
      <c r="P20">
        <f t="shared" si="1"/>
        <v>0</v>
      </c>
      <c r="Q20">
        <f t="shared" si="2"/>
        <v>1</v>
      </c>
      <c r="R20">
        <f t="shared" si="3"/>
        <v>0</v>
      </c>
      <c r="S20">
        <f t="shared" si="4"/>
        <v>0</v>
      </c>
      <c r="T20">
        <f t="shared" si="5"/>
        <v>1</v>
      </c>
      <c r="U20">
        <f t="shared" si="6"/>
        <v>676529.44502426812</v>
      </c>
      <c r="V20">
        <f t="shared" si="7"/>
        <v>73030.264975731843</v>
      </c>
    </row>
    <row r="21" spans="1:22">
      <c r="A21" t="s">
        <v>19</v>
      </c>
      <c r="B21" s="3">
        <v>45748</v>
      </c>
      <c r="C21" t="s">
        <v>20</v>
      </c>
      <c r="D21" t="s">
        <v>21</v>
      </c>
      <c r="E21">
        <v>67979.88</v>
      </c>
      <c r="F21">
        <v>11230</v>
      </c>
      <c r="G21">
        <v>85.3</v>
      </c>
      <c r="H21">
        <v>3.8</v>
      </c>
      <c r="I21">
        <f t="shared" si="0"/>
        <v>0</v>
      </c>
      <c r="J21">
        <v>2E-3</v>
      </c>
      <c r="K21">
        <v>28</v>
      </c>
      <c r="L21">
        <v>7.16</v>
      </c>
      <c r="M21">
        <v>0</v>
      </c>
      <c r="N21">
        <v>910791.94</v>
      </c>
      <c r="O21">
        <v>158891.28</v>
      </c>
      <c r="P21">
        <f t="shared" si="1"/>
        <v>1</v>
      </c>
      <c r="Q21">
        <f t="shared" si="2"/>
        <v>0</v>
      </c>
      <c r="R21">
        <f t="shared" si="3"/>
        <v>0</v>
      </c>
      <c r="S21">
        <f t="shared" si="4"/>
        <v>1</v>
      </c>
      <c r="T21">
        <f t="shared" si="5"/>
        <v>0</v>
      </c>
      <c r="U21">
        <f t="shared" si="6"/>
        <v>837848.65510729363</v>
      </c>
      <c r="V21">
        <f t="shared" si="7"/>
        <v>72943.284892706317</v>
      </c>
    </row>
    <row r="22" spans="1:22">
      <c r="A22" t="s">
        <v>39</v>
      </c>
      <c r="B22" s="3">
        <v>45658</v>
      </c>
      <c r="C22" t="s">
        <v>15</v>
      </c>
      <c r="D22" t="s">
        <v>18</v>
      </c>
      <c r="E22">
        <v>70937.240000000005</v>
      </c>
      <c r="F22">
        <v>3595</v>
      </c>
      <c r="G22">
        <v>88.9</v>
      </c>
      <c r="H22">
        <v>3.3</v>
      </c>
      <c r="I22">
        <f t="shared" si="0"/>
        <v>0</v>
      </c>
      <c r="J22">
        <v>0.14099999999999999</v>
      </c>
      <c r="K22">
        <v>11</v>
      </c>
      <c r="L22">
        <v>2.83</v>
      </c>
      <c r="M22">
        <v>1</v>
      </c>
      <c r="N22">
        <v>661927.14</v>
      </c>
      <c r="O22">
        <v>79218.570000000007</v>
      </c>
      <c r="P22">
        <f t="shared" si="1"/>
        <v>0</v>
      </c>
      <c r="Q22">
        <f t="shared" si="2"/>
        <v>0</v>
      </c>
      <c r="R22">
        <f t="shared" si="3"/>
        <v>1</v>
      </c>
      <c r="S22">
        <f t="shared" si="4"/>
        <v>0</v>
      </c>
      <c r="T22">
        <f t="shared" si="5"/>
        <v>1</v>
      </c>
      <c r="U22">
        <f t="shared" si="6"/>
        <v>589572.72924430191</v>
      </c>
      <c r="V22">
        <f t="shared" si="7"/>
        <v>72354.410755698103</v>
      </c>
    </row>
    <row r="23" spans="1:22">
      <c r="A23" t="s">
        <v>71</v>
      </c>
      <c r="B23" s="3">
        <v>45748</v>
      </c>
      <c r="C23" t="s">
        <v>20</v>
      </c>
      <c r="D23" t="s">
        <v>16</v>
      </c>
      <c r="E23">
        <v>61391.8</v>
      </c>
      <c r="F23">
        <v>5575</v>
      </c>
      <c r="G23">
        <v>90</v>
      </c>
      <c r="H23">
        <v>4.8</v>
      </c>
      <c r="I23">
        <f t="shared" si="0"/>
        <v>0</v>
      </c>
      <c r="J23">
        <v>0.189</v>
      </c>
      <c r="K23">
        <v>18</v>
      </c>
      <c r="L23">
        <v>1.8</v>
      </c>
      <c r="M23">
        <v>0</v>
      </c>
      <c r="N23">
        <v>735786.64</v>
      </c>
      <c r="O23">
        <v>126540.66</v>
      </c>
      <c r="P23">
        <f t="shared" si="1"/>
        <v>1</v>
      </c>
      <c r="Q23">
        <f t="shared" si="2"/>
        <v>0</v>
      </c>
      <c r="R23">
        <f t="shared" si="3"/>
        <v>0</v>
      </c>
      <c r="S23">
        <f t="shared" si="4"/>
        <v>0</v>
      </c>
      <c r="T23">
        <f t="shared" si="5"/>
        <v>0</v>
      </c>
      <c r="U23">
        <f t="shared" si="6"/>
        <v>664006.07050467655</v>
      </c>
      <c r="V23">
        <f t="shared" si="7"/>
        <v>71780.569495323463</v>
      </c>
    </row>
    <row r="24" spans="1:22">
      <c r="A24" t="s">
        <v>17</v>
      </c>
      <c r="B24" s="3">
        <v>45748</v>
      </c>
      <c r="C24" t="s">
        <v>15</v>
      </c>
      <c r="D24" t="s">
        <v>18</v>
      </c>
      <c r="E24">
        <v>68148.52</v>
      </c>
      <c r="F24">
        <v>8567</v>
      </c>
      <c r="G24">
        <v>95.6</v>
      </c>
      <c r="H24">
        <v>3.9</v>
      </c>
      <c r="I24">
        <f t="shared" si="0"/>
        <v>0</v>
      </c>
      <c r="J24">
        <v>0.127</v>
      </c>
      <c r="K24">
        <v>23</v>
      </c>
      <c r="L24">
        <v>0.8</v>
      </c>
      <c r="M24">
        <v>0</v>
      </c>
      <c r="N24">
        <v>850164.26</v>
      </c>
      <c r="O24">
        <v>149262.75</v>
      </c>
      <c r="P24">
        <f t="shared" si="1"/>
        <v>0</v>
      </c>
      <c r="Q24">
        <f t="shared" si="2"/>
        <v>0</v>
      </c>
      <c r="R24">
        <f t="shared" si="3"/>
        <v>1</v>
      </c>
      <c r="S24">
        <f t="shared" si="4"/>
        <v>0</v>
      </c>
      <c r="T24">
        <f t="shared" si="5"/>
        <v>1</v>
      </c>
      <c r="U24">
        <f t="shared" si="6"/>
        <v>780582.57439544715</v>
      </c>
      <c r="V24">
        <f t="shared" si="7"/>
        <v>69581.685604552855</v>
      </c>
    </row>
    <row r="25" spans="1:22">
      <c r="A25" t="s">
        <v>40</v>
      </c>
      <c r="B25" s="3">
        <v>45717</v>
      </c>
      <c r="C25" t="s">
        <v>15</v>
      </c>
      <c r="D25" t="s">
        <v>16</v>
      </c>
      <c r="E25">
        <v>70144.78</v>
      </c>
      <c r="F25">
        <v>6806</v>
      </c>
      <c r="G25">
        <v>93.1</v>
      </c>
      <c r="H25">
        <v>4.3</v>
      </c>
      <c r="I25">
        <f t="shared" si="0"/>
        <v>0</v>
      </c>
      <c r="J25">
        <v>0.17799999999999999</v>
      </c>
      <c r="K25">
        <v>20</v>
      </c>
      <c r="L25">
        <v>0.28000000000000003</v>
      </c>
      <c r="M25">
        <v>1</v>
      </c>
      <c r="N25">
        <v>788087.68</v>
      </c>
      <c r="O25">
        <v>116803.42</v>
      </c>
      <c r="P25">
        <f t="shared" si="1"/>
        <v>0</v>
      </c>
      <c r="Q25">
        <f t="shared" si="2"/>
        <v>0</v>
      </c>
      <c r="R25">
        <f t="shared" si="3"/>
        <v>1</v>
      </c>
      <c r="S25">
        <f t="shared" si="4"/>
        <v>0</v>
      </c>
      <c r="T25">
        <f t="shared" si="5"/>
        <v>0</v>
      </c>
      <c r="U25">
        <f t="shared" si="6"/>
        <v>720124.07648921001</v>
      </c>
      <c r="V25">
        <f t="shared" si="7"/>
        <v>67963.603510790039</v>
      </c>
    </row>
    <row r="26" spans="1:22">
      <c r="A26" t="s">
        <v>46</v>
      </c>
      <c r="B26" s="3">
        <v>45689</v>
      </c>
      <c r="C26" t="s">
        <v>27</v>
      </c>
      <c r="D26" t="s">
        <v>28</v>
      </c>
      <c r="E26">
        <v>78839.39</v>
      </c>
      <c r="F26">
        <v>5150</v>
      </c>
      <c r="G26">
        <v>85.8</v>
      </c>
      <c r="H26">
        <v>4.3</v>
      </c>
      <c r="I26">
        <f t="shared" si="0"/>
        <v>1</v>
      </c>
      <c r="J26">
        <v>0.17100000000000001</v>
      </c>
      <c r="K26">
        <v>13</v>
      </c>
      <c r="L26">
        <v>7.57</v>
      </c>
      <c r="M26">
        <v>0</v>
      </c>
      <c r="N26">
        <v>735509.4</v>
      </c>
      <c r="O26">
        <v>83895.96</v>
      </c>
      <c r="P26">
        <f t="shared" si="1"/>
        <v>0</v>
      </c>
      <c r="Q26">
        <f t="shared" si="2"/>
        <v>0</v>
      </c>
      <c r="R26">
        <f t="shared" si="3"/>
        <v>0</v>
      </c>
      <c r="S26">
        <f t="shared" si="4"/>
        <v>0</v>
      </c>
      <c r="T26">
        <f t="shared" si="5"/>
        <v>0</v>
      </c>
      <c r="U26">
        <f t="shared" si="6"/>
        <v>667652.06309083395</v>
      </c>
      <c r="V26">
        <f t="shared" si="7"/>
        <v>67857.336909166072</v>
      </c>
    </row>
    <row r="27" spans="1:22">
      <c r="A27" t="s">
        <v>56</v>
      </c>
      <c r="B27" s="3">
        <v>45717</v>
      </c>
      <c r="C27" t="s">
        <v>24</v>
      </c>
      <c r="D27" t="s">
        <v>16</v>
      </c>
      <c r="E27">
        <v>69779</v>
      </c>
      <c r="F27">
        <v>6544</v>
      </c>
      <c r="G27">
        <v>90.2</v>
      </c>
      <c r="H27">
        <v>3.3</v>
      </c>
      <c r="I27">
        <f t="shared" si="0"/>
        <v>0</v>
      </c>
      <c r="J27">
        <v>0.152</v>
      </c>
      <c r="K27">
        <v>18</v>
      </c>
      <c r="L27">
        <v>0.85</v>
      </c>
      <c r="M27">
        <v>1</v>
      </c>
      <c r="N27">
        <v>758827.64</v>
      </c>
      <c r="O27">
        <v>161439.48000000001</v>
      </c>
      <c r="P27">
        <f t="shared" si="1"/>
        <v>0</v>
      </c>
      <c r="Q27">
        <f t="shared" si="2"/>
        <v>1</v>
      </c>
      <c r="R27">
        <f t="shared" si="3"/>
        <v>0</v>
      </c>
      <c r="S27">
        <f t="shared" si="4"/>
        <v>0</v>
      </c>
      <c r="T27">
        <f t="shared" si="5"/>
        <v>0</v>
      </c>
      <c r="U27">
        <f t="shared" si="6"/>
        <v>691615.86484527297</v>
      </c>
      <c r="V27">
        <f t="shared" si="7"/>
        <v>67211.775154727045</v>
      </c>
    </row>
    <row r="28" spans="1:22">
      <c r="A28" t="s">
        <v>61</v>
      </c>
      <c r="B28" s="3">
        <v>45717</v>
      </c>
      <c r="C28" t="s">
        <v>20</v>
      </c>
      <c r="D28" t="s">
        <v>28</v>
      </c>
      <c r="E28">
        <v>56918.16</v>
      </c>
      <c r="F28">
        <v>7015</v>
      </c>
      <c r="G28">
        <v>74.2</v>
      </c>
      <c r="H28">
        <v>3.4</v>
      </c>
      <c r="I28">
        <f t="shared" si="0"/>
        <v>1</v>
      </c>
      <c r="J28">
        <v>0.158</v>
      </c>
      <c r="K28">
        <v>18</v>
      </c>
      <c r="L28">
        <v>0.2</v>
      </c>
      <c r="M28">
        <v>0</v>
      </c>
      <c r="N28">
        <v>724216.07</v>
      </c>
      <c r="O28">
        <v>100627.56</v>
      </c>
      <c r="P28">
        <f t="shared" si="1"/>
        <v>1</v>
      </c>
      <c r="Q28">
        <f t="shared" si="2"/>
        <v>0</v>
      </c>
      <c r="R28">
        <f t="shared" si="3"/>
        <v>0</v>
      </c>
      <c r="S28">
        <f t="shared" si="4"/>
        <v>0</v>
      </c>
      <c r="T28">
        <f t="shared" si="5"/>
        <v>0</v>
      </c>
      <c r="U28">
        <f t="shared" si="6"/>
        <v>659904.30760513793</v>
      </c>
      <c r="V28">
        <f t="shared" si="7"/>
        <v>64311.762394862017</v>
      </c>
    </row>
    <row r="29" spans="1:22">
      <c r="A29" t="s">
        <v>68</v>
      </c>
      <c r="B29" s="3">
        <v>45717</v>
      </c>
      <c r="C29" t="s">
        <v>20</v>
      </c>
      <c r="D29" t="s">
        <v>18</v>
      </c>
      <c r="E29">
        <v>48031.74</v>
      </c>
      <c r="F29">
        <v>6516</v>
      </c>
      <c r="G29">
        <v>99</v>
      </c>
      <c r="H29">
        <v>4.3</v>
      </c>
      <c r="I29">
        <f t="shared" si="0"/>
        <v>0</v>
      </c>
      <c r="J29">
        <v>6.7000000000000004E-2</v>
      </c>
      <c r="K29">
        <v>14</v>
      </c>
      <c r="L29">
        <v>0.48</v>
      </c>
      <c r="M29">
        <v>1</v>
      </c>
      <c r="N29">
        <v>765906.95</v>
      </c>
      <c r="O29">
        <v>114005.9</v>
      </c>
      <c r="P29">
        <f t="shared" si="1"/>
        <v>1</v>
      </c>
      <c r="Q29">
        <f t="shared" si="2"/>
        <v>0</v>
      </c>
      <c r="R29">
        <f t="shared" si="3"/>
        <v>0</v>
      </c>
      <c r="S29">
        <f t="shared" si="4"/>
        <v>0</v>
      </c>
      <c r="T29">
        <f t="shared" si="5"/>
        <v>1</v>
      </c>
      <c r="U29">
        <f t="shared" si="6"/>
        <v>702041.1867338235</v>
      </c>
      <c r="V29">
        <f t="shared" si="7"/>
        <v>63865.763266176451</v>
      </c>
    </row>
    <row r="30" spans="1:22">
      <c r="A30" t="s">
        <v>41</v>
      </c>
      <c r="B30" s="3">
        <v>45717</v>
      </c>
      <c r="C30" t="s">
        <v>24</v>
      </c>
      <c r="D30" t="s">
        <v>18</v>
      </c>
      <c r="E30">
        <v>80562.81</v>
      </c>
      <c r="F30">
        <v>7470</v>
      </c>
      <c r="G30">
        <v>83.5</v>
      </c>
      <c r="H30">
        <v>3.3</v>
      </c>
      <c r="I30">
        <f t="shared" si="0"/>
        <v>0</v>
      </c>
      <c r="J30">
        <v>0.17199999999999999</v>
      </c>
      <c r="K30">
        <v>16</v>
      </c>
      <c r="L30">
        <v>2.29</v>
      </c>
      <c r="M30">
        <v>0</v>
      </c>
      <c r="N30">
        <v>776922.17</v>
      </c>
      <c r="O30">
        <v>150701.93</v>
      </c>
      <c r="P30">
        <f t="shared" si="1"/>
        <v>0</v>
      </c>
      <c r="Q30">
        <f t="shared" si="2"/>
        <v>1</v>
      </c>
      <c r="R30">
        <f t="shared" si="3"/>
        <v>0</v>
      </c>
      <c r="S30">
        <f t="shared" si="4"/>
        <v>0</v>
      </c>
      <c r="T30">
        <f t="shared" si="5"/>
        <v>1</v>
      </c>
      <c r="U30">
        <f t="shared" si="6"/>
        <v>715276.17715251748</v>
      </c>
      <c r="V30">
        <f t="shared" si="7"/>
        <v>61645.992847482557</v>
      </c>
    </row>
    <row r="31" spans="1:22">
      <c r="A31" t="s">
        <v>76</v>
      </c>
      <c r="B31" s="3">
        <v>45717</v>
      </c>
      <c r="C31" t="s">
        <v>20</v>
      </c>
      <c r="D31" t="s">
        <v>21</v>
      </c>
      <c r="E31">
        <v>58785.33</v>
      </c>
      <c r="F31">
        <v>4467</v>
      </c>
      <c r="G31">
        <v>90.7</v>
      </c>
      <c r="H31">
        <v>3.7</v>
      </c>
      <c r="I31">
        <f t="shared" si="0"/>
        <v>0</v>
      </c>
      <c r="J31">
        <v>0.22900000000000001</v>
      </c>
      <c r="K31">
        <v>14</v>
      </c>
      <c r="L31">
        <v>1.92</v>
      </c>
      <c r="M31">
        <v>0</v>
      </c>
      <c r="N31">
        <v>673348.56</v>
      </c>
      <c r="O31">
        <v>69464.59</v>
      </c>
      <c r="P31">
        <f t="shared" si="1"/>
        <v>1</v>
      </c>
      <c r="Q31">
        <f t="shared" si="2"/>
        <v>0</v>
      </c>
      <c r="R31">
        <f t="shared" si="3"/>
        <v>0</v>
      </c>
      <c r="S31">
        <f t="shared" si="4"/>
        <v>1</v>
      </c>
      <c r="T31">
        <f t="shared" si="5"/>
        <v>0</v>
      </c>
      <c r="U31">
        <f t="shared" si="6"/>
        <v>614206.35810110264</v>
      </c>
      <c r="V31">
        <f t="shared" si="7"/>
        <v>59142.201898897416</v>
      </c>
    </row>
    <row r="32" spans="1:22">
      <c r="A32" t="s">
        <v>32</v>
      </c>
      <c r="B32" s="3">
        <v>45717</v>
      </c>
      <c r="C32" t="s">
        <v>15</v>
      </c>
      <c r="D32" t="s">
        <v>28</v>
      </c>
      <c r="E32">
        <v>68077.539999999994</v>
      </c>
      <c r="F32">
        <v>3360</v>
      </c>
      <c r="G32">
        <v>88.2</v>
      </c>
      <c r="H32">
        <v>4</v>
      </c>
      <c r="I32">
        <f t="shared" si="0"/>
        <v>1</v>
      </c>
      <c r="J32">
        <v>0.128</v>
      </c>
      <c r="K32">
        <v>14</v>
      </c>
      <c r="L32">
        <v>1.24</v>
      </c>
      <c r="M32">
        <v>1</v>
      </c>
      <c r="N32">
        <v>657429.18000000005</v>
      </c>
      <c r="O32">
        <v>88919.74</v>
      </c>
      <c r="P32">
        <f t="shared" si="1"/>
        <v>0</v>
      </c>
      <c r="Q32">
        <f t="shared" si="2"/>
        <v>0</v>
      </c>
      <c r="R32">
        <f t="shared" si="3"/>
        <v>1</v>
      </c>
      <c r="S32">
        <f t="shared" si="4"/>
        <v>0</v>
      </c>
      <c r="T32">
        <f t="shared" si="5"/>
        <v>0</v>
      </c>
      <c r="U32">
        <f t="shared" si="6"/>
        <v>598678.32206914795</v>
      </c>
      <c r="V32">
        <f t="shared" si="7"/>
        <v>58750.8579308521</v>
      </c>
    </row>
    <row r="33" spans="1:22">
      <c r="A33" t="s">
        <v>45</v>
      </c>
      <c r="B33" s="3">
        <v>45717</v>
      </c>
      <c r="C33" t="s">
        <v>27</v>
      </c>
      <c r="D33" t="s">
        <v>16</v>
      </c>
      <c r="E33">
        <v>86421.88</v>
      </c>
      <c r="F33">
        <v>7970</v>
      </c>
      <c r="G33">
        <v>91.3</v>
      </c>
      <c r="H33">
        <v>5</v>
      </c>
      <c r="I33">
        <f t="shared" si="0"/>
        <v>0</v>
      </c>
      <c r="J33">
        <v>7.2999999999999995E-2</v>
      </c>
      <c r="K33">
        <v>17</v>
      </c>
      <c r="L33">
        <v>0.8</v>
      </c>
      <c r="M33">
        <v>0</v>
      </c>
      <c r="N33">
        <v>838250.32</v>
      </c>
      <c r="O33">
        <v>122939.34</v>
      </c>
      <c r="P33">
        <f t="shared" si="1"/>
        <v>0</v>
      </c>
      <c r="Q33">
        <f t="shared" si="2"/>
        <v>0</v>
      </c>
      <c r="R33">
        <f t="shared" si="3"/>
        <v>0</v>
      </c>
      <c r="S33">
        <f t="shared" si="4"/>
        <v>0</v>
      </c>
      <c r="T33">
        <f t="shared" si="5"/>
        <v>0</v>
      </c>
      <c r="U33">
        <f t="shared" si="6"/>
        <v>780520.13264334761</v>
      </c>
      <c r="V33">
        <f t="shared" si="7"/>
        <v>57730.187356652343</v>
      </c>
    </row>
    <row r="34" spans="1:22">
      <c r="A34" t="s">
        <v>37</v>
      </c>
      <c r="B34" s="3">
        <v>45689</v>
      </c>
      <c r="C34" t="s">
        <v>24</v>
      </c>
      <c r="D34" t="s">
        <v>18</v>
      </c>
      <c r="E34">
        <v>37284.660000000003</v>
      </c>
      <c r="F34">
        <v>3928</v>
      </c>
      <c r="G34">
        <v>86.5</v>
      </c>
      <c r="H34">
        <v>3.8</v>
      </c>
      <c r="I34">
        <f t="shared" si="0"/>
        <v>0</v>
      </c>
      <c r="J34">
        <v>7.3999999999999996E-2</v>
      </c>
      <c r="K34">
        <v>12</v>
      </c>
      <c r="L34">
        <v>1.64</v>
      </c>
      <c r="M34">
        <v>0</v>
      </c>
      <c r="N34">
        <v>615966.48</v>
      </c>
      <c r="O34">
        <v>91509.38</v>
      </c>
      <c r="P34">
        <f t="shared" si="1"/>
        <v>0</v>
      </c>
      <c r="Q34">
        <f t="shared" si="2"/>
        <v>1</v>
      </c>
      <c r="R34">
        <f t="shared" si="3"/>
        <v>0</v>
      </c>
      <c r="S34">
        <f t="shared" si="4"/>
        <v>0</v>
      </c>
      <c r="T34">
        <f t="shared" si="5"/>
        <v>1</v>
      </c>
      <c r="U34">
        <f t="shared" si="6"/>
        <v>558790.95149232342</v>
      </c>
      <c r="V34">
        <f t="shared" si="7"/>
        <v>57175.528507676558</v>
      </c>
    </row>
    <row r="35" spans="1:22">
      <c r="A35" t="s">
        <v>37</v>
      </c>
      <c r="B35" s="3">
        <v>45748</v>
      </c>
      <c r="C35" t="s">
        <v>24</v>
      </c>
      <c r="D35" t="s">
        <v>18</v>
      </c>
      <c r="E35">
        <v>74954.47</v>
      </c>
      <c r="F35">
        <v>6620</v>
      </c>
      <c r="G35">
        <v>91.1</v>
      </c>
      <c r="H35">
        <v>3.5</v>
      </c>
      <c r="I35">
        <f t="shared" si="0"/>
        <v>0</v>
      </c>
      <c r="J35">
        <v>5.3999999999999999E-2</v>
      </c>
      <c r="K35">
        <v>17</v>
      </c>
      <c r="L35">
        <v>1.1100000000000001</v>
      </c>
      <c r="M35">
        <v>0</v>
      </c>
      <c r="N35">
        <v>761860.19</v>
      </c>
      <c r="O35">
        <v>133279.38</v>
      </c>
      <c r="P35">
        <f t="shared" si="1"/>
        <v>0</v>
      </c>
      <c r="Q35">
        <f t="shared" si="2"/>
        <v>1</v>
      </c>
      <c r="R35">
        <f t="shared" si="3"/>
        <v>0</v>
      </c>
      <c r="S35">
        <f t="shared" si="4"/>
        <v>0</v>
      </c>
      <c r="T35">
        <f t="shared" si="5"/>
        <v>1</v>
      </c>
      <c r="U35">
        <f t="shared" si="6"/>
        <v>705140.11618564976</v>
      </c>
      <c r="V35">
        <f t="shared" si="7"/>
        <v>56720.07381435018</v>
      </c>
    </row>
    <row r="36" spans="1:22">
      <c r="A36" t="s">
        <v>85</v>
      </c>
      <c r="B36" s="3">
        <v>45717</v>
      </c>
      <c r="C36" t="s">
        <v>24</v>
      </c>
      <c r="D36" t="s">
        <v>21</v>
      </c>
      <c r="E36">
        <v>75412.740000000005</v>
      </c>
      <c r="F36">
        <v>5641</v>
      </c>
      <c r="G36">
        <v>87.9</v>
      </c>
      <c r="H36">
        <v>3.6</v>
      </c>
      <c r="I36">
        <f t="shared" si="0"/>
        <v>0</v>
      </c>
      <c r="J36">
        <v>5.8999999999999997E-2</v>
      </c>
      <c r="K36">
        <v>13</v>
      </c>
      <c r="L36">
        <v>0.84</v>
      </c>
      <c r="M36">
        <v>0</v>
      </c>
      <c r="N36">
        <v>720079.54</v>
      </c>
      <c r="O36">
        <v>119499.47</v>
      </c>
      <c r="P36">
        <f t="shared" si="1"/>
        <v>0</v>
      </c>
      <c r="Q36">
        <f t="shared" si="2"/>
        <v>1</v>
      </c>
      <c r="R36">
        <f t="shared" si="3"/>
        <v>0</v>
      </c>
      <c r="S36">
        <f t="shared" si="4"/>
        <v>1</v>
      </c>
      <c r="T36">
        <f t="shared" si="5"/>
        <v>0</v>
      </c>
      <c r="U36">
        <f t="shared" si="6"/>
        <v>663978.12143152044</v>
      </c>
      <c r="V36">
        <f t="shared" si="7"/>
        <v>56101.418568479596</v>
      </c>
    </row>
    <row r="37" spans="1:22">
      <c r="A37" t="s">
        <v>41</v>
      </c>
      <c r="B37" s="3">
        <v>45689</v>
      </c>
      <c r="C37" t="s">
        <v>24</v>
      </c>
      <c r="D37" t="s">
        <v>18</v>
      </c>
      <c r="E37">
        <v>54872.82</v>
      </c>
      <c r="F37">
        <v>5962</v>
      </c>
      <c r="G37">
        <v>85.4</v>
      </c>
      <c r="H37">
        <v>2.9</v>
      </c>
      <c r="I37">
        <f t="shared" si="0"/>
        <v>0</v>
      </c>
      <c r="J37">
        <v>6.4000000000000001E-2</v>
      </c>
      <c r="K37">
        <v>12</v>
      </c>
      <c r="L37">
        <v>2.58</v>
      </c>
      <c r="M37">
        <v>0</v>
      </c>
      <c r="N37">
        <v>691112.6</v>
      </c>
      <c r="O37">
        <v>109212.83</v>
      </c>
      <c r="P37">
        <f t="shared" si="1"/>
        <v>0</v>
      </c>
      <c r="Q37">
        <f t="shared" si="2"/>
        <v>1</v>
      </c>
      <c r="R37">
        <f t="shared" si="3"/>
        <v>0</v>
      </c>
      <c r="S37">
        <f t="shared" si="4"/>
        <v>0</v>
      </c>
      <c r="T37">
        <f t="shared" si="5"/>
        <v>1</v>
      </c>
      <c r="U37">
        <f t="shared" si="6"/>
        <v>635539.67144530138</v>
      </c>
      <c r="V37">
        <f t="shared" si="7"/>
        <v>55572.928554698592</v>
      </c>
    </row>
    <row r="38" spans="1:22">
      <c r="A38" t="s">
        <v>86</v>
      </c>
      <c r="B38" s="3">
        <v>45748</v>
      </c>
      <c r="C38" t="s">
        <v>24</v>
      </c>
      <c r="D38" t="s">
        <v>28</v>
      </c>
      <c r="E38">
        <v>38397.82</v>
      </c>
      <c r="F38">
        <v>7836</v>
      </c>
      <c r="G38">
        <v>92.2</v>
      </c>
      <c r="H38">
        <v>3.6</v>
      </c>
      <c r="I38">
        <f t="shared" si="0"/>
        <v>1</v>
      </c>
      <c r="J38">
        <v>7.0000000000000001E-3</v>
      </c>
      <c r="K38">
        <v>21</v>
      </c>
      <c r="L38">
        <v>1.82</v>
      </c>
      <c r="M38">
        <v>0</v>
      </c>
      <c r="N38">
        <v>776110.32</v>
      </c>
      <c r="O38">
        <v>139676.21</v>
      </c>
      <c r="P38">
        <f t="shared" si="1"/>
        <v>0</v>
      </c>
      <c r="Q38">
        <f t="shared" si="2"/>
        <v>1</v>
      </c>
      <c r="R38">
        <f t="shared" si="3"/>
        <v>0</v>
      </c>
      <c r="S38">
        <f t="shared" si="4"/>
        <v>0</v>
      </c>
      <c r="T38">
        <f t="shared" si="5"/>
        <v>0</v>
      </c>
      <c r="U38">
        <f t="shared" si="6"/>
        <v>722423.50434477639</v>
      </c>
      <c r="V38">
        <f t="shared" si="7"/>
        <v>53686.81565522356</v>
      </c>
    </row>
    <row r="39" spans="1:22">
      <c r="A39" t="s">
        <v>53</v>
      </c>
      <c r="B39" s="3">
        <v>45717</v>
      </c>
      <c r="C39" t="s">
        <v>24</v>
      </c>
      <c r="D39" t="s">
        <v>18</v>
      </c>
      <c r="E39">
        <v>56517.9</v>
      </c>
      <c r="F39">
        <v>9574</v>
      </c>
      <c r="G39">
        <v>88.2</v>
      </c>
      <c r="H39">
        <v>4.9000000000000004</v>
      </c>
      <c r="I39">
        <f t="shared" si="0"/>
        <v>0</v>
      </c>
      <c r="J39">
        <v>0.20399999999999999</v>
      </c>
      <c r="K39">
        <v>20</v>
      </c>
      <c r="L39">
        <v>5.37</v>
      </c>
      <c r="M39">
        <v>1</v>
      </c>
      <c r="N39">
        <v>842157.92</v>
      </c>
      <c r="O39">
        <v>107348.22</v>
      </c>
      <c r="P39">
        <f t="shared" si="1"/>
        <v>0</v>
      </c>
      <c r="Q39">
        <f t="shared" si="2"/>
        <v>1</v>
      </c>
      <c r="R39">
        <f t="shared" si="3"/>
        <v>0</v>
      </c>
      <c r="S39">
        <f t="shared" si="4"/>
        <v>0</v>
      </c>
      <c r="T39">
        <f t="shared" si="5"/>
        <v>1</v>
      </c>
      <c r="U39">
        <f t="shared" si="6"/>
        <v>788674.11807362735</v>
      </c>
      <c r="V39">
        <f t="shared" si="7"/>
        <v>53483.801926372689</v>
      </c>
    </row>
    <row r="40" spans="1:22">
      <c r="A40" t="s">
        <v>82</v>
      </c>
      <c r="B40" s="3">
        <v>45658</v>
      </c>
      <c r="C40" t="s">
        <v>24</v>
      </c>
      <c r="D40" t="s">
        <v>21</v>
      </c>
      <c r="E40">
        <v>69900.12</v>
      </c>
      <c r="F40">
        <v>8055</v>
      </c>
      <c r="G40">
        <v>85.6</v>
      </c>
      <c r="H40">
        <v>2.9</v>
      </c>
      <c r="I40">
        <f t="shared" si="0"/>
        <v>0</v>
      </c>
      <c r="J40">
        <v>0.28100000000000003</v>
      </c>
      <c r="K40">
        <v>22</v>
      </c>
      <c r="L40">
        <v>10.68</v>
      </c>
      <c r="M40">
        <v>1</v>
      </c>
      <c r="N40">
        <v>776992.93</v>
      </c>
      <c r="O40">
        <v>101598.32</v>
      </c>
      <c r="P40">
        <f t="shared" si="1"/>
        <v>0</v>
      </c>
      <c r="Q40">
        <f t="shared" si="2"/>
        <v>1</v>
      </c>
      <c r="R40">
        <f t="shared" si="3"/>
        <v>0</v>
      </c>
      <c r="S40">
        <f t="shared" si="4"/>
        <v>1</v>
      </c>
      <c r="T40">
        <f t="shared" si="5"/>
        <v>0</v>
      </c>
      <c r="U40">
        <f t="shared" si="6"/>
        <v>724571.28863251652</v>
      </c>
      <c r="V40">
        <f t="shared" si="7"/>
        <v>52421.641367483535</v>
      </c>
    </row>
    <row r="41" spans="1:22">
      <c r="A41" t="s">
        <v>45</v>
      </c>
      <c r="B41" s="3">
        <v>45689</v>
      </c>
      <c r="C41" t="s">
        <v>27</v>
      </c>
      <c r="D41" t="s">
        <v>16</v>
      </c>
      <c r="E41">
        <v>67439.3</v>
      </c>
      <c r="F41">
        <v>6477</v>
      </c>
      <c r="G41">
        <v>90.9</v>
      </c>
      <c r="H41">
        <v>4.5</v>
      </c>
      <c r="I41">
        <f t="shared" si="0"/>
        <v>0</v>
      </c>
      <c r="J41">
        <v>0</v>
      </c>
      <c r="K41">
        <v>16</v>
      </c>
      <c r="L41">
        <v>1.64</v>
      </c>
      <c r="M41">
        <v>0</v>
      </c>
      <c r="N41">
        <v>753473.55</v>
      </c>
      <c r="O41">
        <v>151527.22</v>
      </c>
      <c r="P41">
        <f t="shared" si="1"/>
        <v>0</v>
      </c>
      <c r="Q41">
        <f t="shared" si="2"/>
        <v>0</v>
      </c>
      <c r="R41">
        <f t="shared" si="3"/>
        <v>0</v>
      </c>
      <c r="S41">
        <f t="shared" si="4"/>
        <v>0</v>
      </c>
      <c r="T41">
        <f t="shared" si="5"/>
        <v>0</v>
      </c>
      <c r="U41">
        <f t="shared" si="6"/>
        <v>701213.93631395907</v>
      </c>
      <c r="V41">
        <f t="shared" si="7"/>
        <v>52259.613686040975</v>
      </c>
    </row>
    <row r="42" spans="1:22">
      <c r="A42" t="s">
        <v>57</v>
      </c>
      <c r="B42" s="3">
        <v>45717</v>
      </c>
      <c r="C42" t="s">
        <v>27</v>
      </c>
      <c r="D42" t="s">
        <v>18</v>
      </c>
      <c r="E42">
        <v>44034.6</v>
      </c>
      <c r="F42">
        <v>5645</v>
      </c>
      <c r="G42">
        <v>88.5</v>
      </c>
      <c r="H42">
        <v>3.8</v>
      </c>
      <c r="I42">
        <f t="shared" si="0"/>
        <v>0</v>
      </c>
      <c r="J42">
        <v>6.9000000000000006E-2</v>
      </c>
      <c r="K42">
        <v>18</v>
      </c>
      <c r="L42">
        <v>3.07</v>
      </c>
      <c r="M42">
        <v>0</v>
      </c>
      <c r="N42">
        <v>682639.28</v>
      </c>
      <c r="O42">
        <v>77557.53</v>
      </c>
      <c r="P42">
        <f t="shared" si="1"/>
        <v>0</v>
      </c>
      <c r="Q42">
        <f t="shared" si="2"/>
        <v>0</v>
      </c>
      <c r="R42">
        <f t="shared" si="3"/>
        <v>0</v>
      </c>
      <c r="S42">
        <f t="shared" si="4"/>
        <v>0</v>
      </c>
      <c r="T42">
        <f t="shared" si="5"/>
        <v>1</v>
      </c>
      <c r="U42">
        <f t="shared" si="6"/>
        <v>630791.40730624029</v>
      </c>
      <c r="V42">
        <f t="shared" si="7"/>
        <v>51847.872693759738</v>
      </c>
    </row>
    <row r="43" spans="1:22">
      <c r="A43" t="s">
        <v>61</v>
      </c>
      <c r="B43" s="3">
        <v>45748</v>
      </c>
      <c r="C43" t="s">
        <v>20</v>
      </c>
      <c r="D43" t="s">
        <v>28</v>
      </c>
      <c r="E43">
        <v>23254.57</v>
      </c>
      <c r="F43">
        <v>3847</v>
      </c>
      <c r="G43">
        <v>93</v>
      </c>
      <c r="H43">
        <v>3.3</v>
      </c>
      <c r="I43">
        <f t="shared" si="0"/>
        <v>1</v>
      </c>
      <c r="J43">
        <v>0.159</v>
      </c>
      <c r="K43">
        <v>12</v>
      </c>
      <c r="L43">
        <v>5.46</v>
      </c>
      <c r="M43">
        <v>0</v>
      </c>
      <c r="N43">
        <v>620973.03</v>
      </c>
      <c r="O43">
        <v>72303.850000000006</v>
      </c>
      <c r="P43">
        <f t="shared" si="1"/>
        <v>1</v>
      </c>
      <c r="Q43">
        <f t="shared" si="2"/>
        <v>0</v>
      </c>
      <c r="R43">
        <f t="shared" si="3"/>
        <v>0</v>
      </c>
      <c r="S43">
        <f t="shared" si="4"/>
        <v>0</v>
      </c>
      <c r="T43">
        <f t="shared" si="5"/>
        <v>0</v>
      </c>
      <c r="U43">
        <f t="shared" si="6"/>
        <v>569218.34763903858</v>
      </c>
      <c r="V43">
        <f t="shared" si="7"/>
        <v>51754.682360961451</v>
      </c>
    </row>
    <row r="44" spans="1:22">
      <c r="A44" t="s">
        <v>79</v>
      </c>
      <c r="B44" s="3">
        <v>45689</v>
      </c>
      <c r="C44" t="s">
        <v>15</v>
      </c>
      <c r="D44" t="s">
        <v>18</v>
      </c>
      <c r="E44">
        <v>113736</v>
      </c>
      <c r="F44">
        <v>8961</v>
      </c>
      <c r="G44">
        <v>86.2</v>
      </c>
      <c r="H44">
        <v>4</v>
      </c>
      <c r="I44">
        <f t="shared" si="0"/>
        <v>0</v>
      </c>
      <c r="J44">
        <v>0.20200000000000001</v>
      </c>
      <c r="K44">
        <v>24</v>
      </c>
      <c r="L44">
        <v>21.63</v>
      </c>
      <c r="M44">
        <v>0</v>
      </c>
      <c r="N44">
        <v>870937.4</v>
      </c>
      <c r="O44">
        <v>175282.74</v>
      </c>
      <c r="P44">
        <f t="shared" si="1"/>
        <v>0</v>
      </c>
      <c r="Q44">
        <f t="shared" si="2"/>
        <v>0</v>
      </c>
      <c r="R44">
        <f t="shared" si="3"/>
        <v>1</v>
      </c>
      <c r="S44">
        <f t="shared" si="4"/>
        <v>0</v>
      </c>
      <c r="T44">
        <f t="shared" si="5"/>
        <v>1</v>
      </c>
      <c r="U44">
        <f t="shared" si="6"/>
        <v>820428.02272378211</v>
      </c>
      <c r="V44">
        <f t="shared" si="7"/>
        <v>50509.377276217914</v>
      </c>
    </row>
    <row r="45" spans="1:22">
      <c r="A45" t="s">
        <v>48</v>
      </c>
      <c r="B45" s="3">
        <v>45658</v>
      </c>
      <c r="C45" t="s">
        <v>27</v>
      </c>
      <c r="D45" t="s">
        <v>18</v>
      </c>
      <c r="E45">
        <v>57919.07</v>
      </c>
      <c r="F45">
        <v>7374</v>
      </c>
      <c r="G45">
        <v>82.3</v>
      </c>
      <c r="H45">
        <v>2.9</v>
      </c>
      <c r="I45">
        <f t="shared" si="0"/>
        <v>0</v>
      </c>
      <c r="J45">
        <v>0.10299999999999999</v>
      </c>
      <c r="K45">
        <v>21</v>
      </c>
      <c r="L45">
        <v>2.87</v>
      </c>
      <c r="M45">
        <v>0</v>
      </c>
      <c r="N45">
        <v>727227.2</v>
      </c>
      <c r="O45">
        <v>121292.01</v>
      </c>
      <c r="P45">
        <f t="shared" si="1"/>
        <v>0</v>
      </c>
      <c r="Q45">
        <f t="shared" si="2"/>
        <v>0</v>
      </c>
      <c r="R45">
        <f t="shared" si="3"/>
        <v>0</v>
      </c>
      <c r="S45">
        <f t="shared" si="4"/>
        <v>0</v>
      </c>
      <c r="T45">
        <f t="shared" si="5"/>
        <v>1</v>
      </c>
      <c r="U45">
        <f t="shared" si="6"/>
        <v>677355.10385985009</v>
      </c>
      <c r="V45">
        <f t="shared" si="7"/>
        <v>49872.096140149864</v>
      </c>
    </row>
    <row r="46" spans="1:22">
      <c r="A46" t="s">
        <v>66</v>
      </c>
      <c r="B46" s="3">
        <v>45717</v>
      </c>
      <c r="C46" t="s">
        <v>27</v>
      </c>
      <c r="D46" t="s">
        <v>21</v>
      </c>
      <c r="E46">
        <v>40535.089999999997</v>
      </c>
      <c r="F46">
        <v>8870</v>
      </c>
      <c r="G46">
        <v>86.6</v>
      </c>
      <c r="H46">
        <v>4.0999999999999996</v>
      </c>
      <c r="I46">
        <f t="shared" si="0"/>
        <v>0</v>
      </c>
      <c r="J46">
        <v>4.1000000000000002E-2</v>
      </c>
      <c r="K46">
        <v>21</v>
      </c>
      <c r="L46">
        <v>0.3</v>
      </c>
      <c r="M46">
        <v>0</v>
      </c>
      <c r="N46">
        <v>781955.52</v>
      </c>
      <c r="O46">
        <v>152578.71</v>
      </c>
      <c r="P46">
        <f t="shared" si="1"/>
        <v>0</v>
      </c>
      <c r="Q46">
        <f t="shared" si="2"/>
        <v>0</v>
      </c>
      <c r="R46">
        <f t="shared" si="3"/>
        <v>0</v>
      </c>
      <c r="S46">
        <f t="shared" si="4"/>
        <v>1</v>
      </c>
      <c r="T46">
        <f t="shared" si="5"/>
        <v>0</v>
      </c>
      <c r="U46">
        <f t="shared" si="6"/>
        <v>732764.59523176984</v>
      </c>
      <c r="V46">
        <f t="shared" si="7"/>
        <v>49190.924768230179</v>
      </c>
    </row>
    <row r="47" spans="1:22">
      <c r="A47" t="s">
        <v>90</v>
      </c>
      <c r="B47" s="3">
        <v>45689</v>
      </c>
      <c r="C47" t="s">
        <v>27</v>
      </c>
      <c r="D47" t="s">
        <v>18</v>
      </c>
      <c r="E47">
        <v>17562.57</v>
      </c>
      <c r="F47">
        <v>3326</v>
      </c>
      <c r="G47">
        <v>88.1</v>
      </c>
      <c r="H47">
        <v>3.1</v>
      </c>
      <c r="I47">
        <f t="shared" si="0"/>
        <v>0</v>
      </c>
      <c r="J47">
        <v>0.153</v>
      </c>
      <c r="K47">
        <v>14</v>
      </c>
      <c r="L47">
        <v>1.04</v>
      </c>
      <c r="M47">
        <v>0</v>
      </c>
      <c r="N47">
        <v>561597.32999999996</v>
      </c>
      <c r="O47">
        <v>75072.75</v>
      </c>
      <c r="P47">
        <f t="shared" si="1"/>
        <v>0</v>
      </c>
      <c r="Q47">
        <f t="shared" si="2"/>
        <v>0</v>
      </c>
      <c r="R47">
        <f t="shared" si="3"/>
        <v>0</v>
      </c>
      <c r="S47">
        <f t="shared" si="4"/>
        <v>0</v>
      </c>
      <c r="T47">
        <f t="shared" si="5"/>
        <v>1</v>
      </c>
      <c r="U47">
        <f t="shared" si="6"/>
        <v>512654.91852978454</v>
      </c>
      <c r="V47">
        <f t="shared" si="7"/>
        <v>48942.411470215418</v>
      </c>
    </row>
    <row r="48" spans="1:22">
      <c r="A48" t="s">
        <v>98</v>
      </c>
      <c r="B48" s="3">
        <v>45717</v>
      </c>
      <c r="C48" t="s">
        <v>24</v>
      </c>
      <c r="D48" t="s">
        <v>16</v>
      </c>
      <c r="E48">
        <v>22387.26</v>
      </c>
      <c r="F48">
        <v>6301</v>
      </c>
      <c r="G48">
        <v>85.9</v>
      </c>
      <c r="H48">
        <v>3.7</v>
      </c>
      <c r="I48">
        <f t="shared" si="0"/>
        <v>0</v>
      </c>
      <c r="J48">
        <v>0.14599999999999999</v>
      </c>
      <c r="K48">
        <v>14</v>
      </c>
      <c r="L48">
        <v>1.17</v>
      </c>
      <c r="M48">
        <v>1</v>
      </c>
      <c r="N48">
        <v>665342.49</v>
      </c>
      <c r="O48">
        <v>93441.81</v>
      </c>
      <c r="P48">
        <f t="shared" si="1"/>
        <v>0</v>
      </c>
      <c r="Q48">
        <f t="shared" si="2"/>
        <v>1</v>
      </c>
      <c r="R48">
        <f t="shared" si="3"/>
        <v>0</v>
      </c>
      <c r="S48">
        <f t="shared" si="4"/>
        <v>0</v>
      </c>
      <c r="T48">
        <f t="shared" si="5"/>
        <v>0</v>
      </c>
      <c r="U48">
        <f t="shared" si="6"/>
        <v>618287.09194897965</v>
      </c>
      <c r="V48">
        <f t="shared" si="7"/>
        <v>47055.39805102034</v>
      </c>
    </row>
    <row r="49" spans="1:22">
      <c r="A49" t="s">
        <v>35</v>
      </c>
      <c r="B49" s="3">
        <v>45717</v>
      </c>
      <c r="C49" t="s">
        <v>27</v>
      </c>
      <c r="D49" t="s">
        <v>18</v>
      </c>
      <c r="E49">
        <v>81195.5</v>
      </c>
      <c r="F49">
        <v>5516</v>
      </c>
      <c r="G49">
        <v>88</v>
      </c>
      <c r="H49">
        <v>4.3</v>
      </c>
      <c r="I49">
        <f t="shared" si="0"/>
        <v>0</v>
      </c>
      <c r="J49">
        <v>0.106</v>
      </c>
      <c r="K49">
        <v>14</v>
      </c>
      <c r="L49">
        <v>1.76</v>
      </c>
      <c r="M49">
        <v>0</v>
      </c>
      <c r="N49">
        <v>720852.5</v>
      </c>
      <c r="O49">
        <v>98565.62</v>
      </c>
      <c r="P49">
        <f t="shared" si="1"/>
        <v>0</v>
      </c>
      <c r="Q49">
        <f t="shared" si="2"/>
        <v>0</v>
      </c>
      <c r="R49">
        <f t="shared" si="3"/>
        <v>0</v>
      </c>
      <c r="S49">
        <f t="shared" si="4"/>
        <v>0</v>
      </c>
      <c r="T49">
        <f t="shared" si="5"/>
        <v>1</v>
      </c>
      <c r="U49">
        <f t="shared" si="6"/>
        <v>674222.40093935851</v>
      </c>
      <c r="V49">
        <f t="shared" si="7"/>
        <v>46630.099060641485</v>
      </c>
    </row>
    <row r="50" spans="1:22">
      <c r="A50" t="s">
        <v>82</v>
      </c>
      <c r="B50" s="3">
        <v>45689</v>
      </c>
      <c r="C50" t="s">
        <v>24</v>
      </c>
      <c r="D50" t="s">
        <v>21</v>
      </c>
      <c r="E50">
        <v>51781.599999999999</v>
      </c>
      <c r="F50">
        <v>5648</v>
      </c>
      <c r="G50">
        <v>85.5</v>
      </c>
      <c r="H50">
        <v>3.7</v>
      </c>
      <c r="I50">
        <f t="shared" si="0"/>
        <v>0</v>
      </c>
      <c r="J50">
        <v>5.8999999999999997E-2</v>
      </c>
      <c r="K50">
        <v>13</v>
      </c>
      <c r="L50">
        <v>4.04</v>
      </c>
      <c r="M50">
        <v>0</v>
      </c>
      <c r="N50">
        <v>676337.41</v>
      </c>
      <c r="O50">
        <v>104355.77</v>
      </c>
      <c r="P50">
        <f t="shared" si="1"/>
        <v>0</v>
      </c>
      <c r="Q50">
        <f t="shared" si="2"/>
        <v>1</v>
      </c>
      <c r="R50">
        <f t="shared" si="3"/>
        <v>0</v>
      </c>
      <c r="S50">
        <f t="shared" si="4"/>
        <v>1</v>
      </c>
      <c r="T50">
        <f t="shared" si="5"/>
        <v>0</v>
      </c>
      <c r="U50">
        <f t="shared" si="6"/>
        <v>629922.5186871792</v>
      </c>
      <c r="V50">
        <f t="shared" si="7"/>
        <v>46414.891312820837</v>
      </c>
    </row>
    <row r="51" spans="1:22">
      <c r="A51" t="s">
        <v>73</v>
      </c>
      <c r="B51" s="3">
        <v>45689</v>
      </c>
      <c r="C51" t="s">
        <v>15</v>
      </c>
      <c r="D51" t="s">
        <v>28</v>
      </c>
      <c r="E51">
        <v>54300.87</v>
      </c>
      <c r="F51">
        <v>7875</v>
      </c>
      <c r="G51">
        <v>94.1</v>
      </c>
      <c r="H51">
        <v>3.7</v>
      </c>
      <c r="I51">
        <f t="shared" si="0"/>
        <v>1</v>
      </c>
      <c r="J51">
        <v>0.107</v>
      </c>
      <c r="K51">
        <v>19</v>
      </c>
      <c r="L51">
        <v>0.95</v>
      </c>
      <c r="M51">
        <v>0</v>
      </c>
      <c r="N51">
        <v>795464.47</v>
      </c>
      <c r="O51">
        <v>161150.51999999999</v>
      </c>
      <c r="P51">
        <f t="shared" si="1"/>
        <v>0</v>
      </c>
      <c r="Q51">
        <f t="shared" si="2"/>
        <v>0</v>
      </c>
      <c r="R51">
        <f t="shared" si="3"/>
        <v>1</v>
      </c>
      <c r="S51">
        <f t="shared" si="4"/>
        <v>0</v>
      </c>
      <c r="T51">
        <f t="shared" si="5"/>
        <v>0</v>
      </c>
      <c r="U51">
        <f t="shared" si="6"/>
        <v>749425.69910635659</v>
      </c>
      <c r="V51">
        <f t="shared" si="7"/>
        <v>46038.770893643377</v>
      </c>
    </row>
    <row r="52" spans="1:22">
      <c r="A52" t="s">
        <v>57</v>
      </c>
      <c r="B52" s="3">
        <v>45658</v>
      </c>
      <c r="C52" t="s">
        <v>27</v>
      </c>
      <c r="D52" t="s">
        <v>18</v>
      </c>
      <c r="E52">
        <v>51430.31</v>
      </c>
      <c r="F52">
        <v>6427</v>
      </c>
      <c r="G52">
        <v>88.8</v>
      </c>
      <c r="H52">
        <v>4.0999999999999996</v>
      </c>
      <c r="I52">
        <f t="shared" si="0"/>
        <v>0</v>
      </c>
      <c r="J52">
        <v>0.23400000000000001</v>
      </c>
      <c r="K52">
        <v>14</v>
      </c>
      <c r="L52">
        <v>0.77</v>
      </c>
      <c r="M52">
        <v>0</v>
      </c>
      <c r="N52">
        <v>715890.53</v>
      </c>
      <c r="O52">
        <v>109032.15</v>
      </c>
      <c r="P52">
        <f t="shared" si="1"/>
        <v>0</v>
      </c>
      <c r="Q52">
        <f t="shared" si="2"/>
        <v>0</v>
      </c>
      <c r="R52">
        <f t="shared" si="3"/>
        <v>0</v>
      </c>
      <c r="S52">
        <f t="shared" si="4"/>
        <v>0</v>
      </c>
      <c r="T52">
        <f t="shared" si="5"/>
        <v>1</v>
      </c>
      <c r="U52">
        <f t="shared" si="6"/>
        <v>669980.55360939004</v>
      </c>
      <c r="V52">
        <f t="shared" si="7"/>
        <v>45909.976390609983</v>
      </c>
    </row>
    <row r="53" spans="1:22">
      <c r="A53" t="s">
        <v>97</v>
      </c>
      <c r="B53" s="3">
        <v>45748</v>
      </c>
      <c r="C53" t="s">
        <v>20</v>
      </c>
      <c r="D53" t="s">
        <v>28</v>
      </c>
      <c r="E53">
        <v>31997.25</v>
      </c>
      <c r="F53">
        <v>8183</v>
      </c>
      <c r="G53">
        <v>93</v>
      </c>
      <c r="H53">
        <v>4.2</v>
      </c>
      <c r="I53">
        <f t="shared" si="0"/>
        <v>1</v>
      </c>
      <c r="J53">
        <v>0.19800000000000001</v>
      </c>
      <c r="K53">
        <v>18</v>
      </c>
      <c r="L53">
        <v>2.79</v>
      </c>
      <c r="M53">
        <v>0</v>
      </c>
      <c r="N53">
        <v>780580.95</v>
      </c>
      <c r="O53">
        <v>138144.46</v>
      </c>
      <c r="P53">
        <f t="shared" si="1"/>
        <v>1</v>
      </c>
      <c r="Q53">
        <f t="shared" si="2"/>
        <v>0</v>
      </c>
      <c r="R53">
        <f t="shared" si="3"/>
        <v>0</v>
      </c>
      <c r="S53">
        <f t="shared" si="4"/>
        <v>0</v>
      </c>
      <c r="T53">
        <f t="shared" si="5"/>
        <v>0</v>
      </c>
      <c r="U53">
        <f t="shared" si="6"/>
        <v>735218.00176553568</v>
      </c>
      <c r="V53">
        <f t="shared" si="7"/>
        <v>45362.948234464275</v>
      </c>
    </row>
    <row r="54" spans="1:22">
      <c r="A54" t="s">
        <v>42</v>
      </c>
      <c r="B54" s="3">
        <v>45689</v>
      </c>
      <c r="C54" t="s">
        <v>27</v>
      </c>
      <c r="D54" t="s">
        <v>28</v>
      </c>
      <c r="E54">
        <v>60628.38</v>
      </c>
      <c r="F54">
        <v>4451</v>
      </c>
      <c r="G54">
        <v>89.6</v>
      </c>
      <c r="H54">
        <v>4.5999999999999996</v>
      </c>
      <c r="I54">
        <f t="shared" si="0"/>
        <v>1</v>
      </c>
      <c r="J54">
        <v>9.5000000000000001E-2</v>
      </c>
      <c r="K54">
        <v>10</v>
      </c>
      <c r="L54">
        <v>3.17</v>
      </c>
      <c r="M54">
        <v>0</v>
      </c>
      <c r="N54">
        <v>682208.01</v>
      </c>
      <c r="O54">
        <v>110318.84</v>
      </c>
      <c r="P54">
        <f t="shared" si="1"/>
        <v>0</v>
      </c>
      <c r="Q54">
        <f t="shared" si="2"/>
        <v>0</v>
      </c>
      <c r="R54">
        <f t="shared" si="3"/>
        <v>0</v>
      </c>
      <c r="S54">
        <f t="shared" si="4"/>
        <v>0</v>
      </c>
      <c r="T54">
        <f t="shared" si="5"/>
        <v>0</v>
      </c>
      <c r="U54">
        <f t="shared" si="6"/>
        <v>637146.65713021299</v>
      </c>
      <c r="V54">
        <f t="shared" si="7"/>
        <v>45061.352869787021</v>
      </c>
    </row>
    <row r="55" spans="1:22">
      <c r="A55" t="s">
        <v>76</v>
      </c>
      <c r="B55" s="3">
        <v>45658</v>
      </c>
      <c r="C55" t="s">
        <v>20</v>
      </c>
      <c r="D55" t="s">
        <v>21</v>
      </c>
      <c r="E55">
        <v>69180.539999999994</v>
      </c>
      <c r="F55">
        <v>5394</v>
      </c>
      <c r="G55">
        <v>82.9</v>
      </c>
      <c r="H55">
        <v>3.3</v>
      </c>
      <c r="I55">
        <f t="shared" si="0"/>
        <v>0</v>
      </c>
      <c r="J55">
        <v>0.126</v>
      </c>
      <c r="K55">
        <v>12</v>
      </c>
      <c r="L55">
        <v>3.27</v>
      </c>
      <c r="M55">
        <v>0</v>
      </c>
      <c r="N55">
        <v>674289.1</v>
      </c>
      <c r="O55">
        <v>117773.79</v>
      </c>
      <c r="P55">
        <f t="shared" si="1"/>
        <v>1</v>
      </c>
      <c r="Q55">
        <f t="shared" si="2"/>
        <v>0</v>
      </c>
      <c r="R55">
        <f t="shared" si="3"/>
        <v>0</v>
      </c>
      <c r="S55">
        <f t="shared" si="4"/>
        <v>1</v>
      </c>
      <c r="T55">
        <f t="shared" si="5"/>
        <v>0</v>
      </c>
      <c r="U55">
        <f t="shared" si="6"/>
        <v>629926.78800380894</v>
      </c>
      <c r="V55">
        <f t="shared" si="7"/>
        <v>44362.311996191042</v>
      </c>
    </row>
    <row r="56" spans="1:22">
      <c r="A56" t="s">
        <v>80</v>
      </c>
      <c r="B56" s="3">
        <v>45658</v>
      </c>
      <c r="C56" t="s">
        <v>27</v>
      </c>
      <c r="D56" t="s">
        <v>16</v>
      </c>
      <c r="E56">
        <v>47241.919999999998</v>
      </c>
      <c r="F56">
        <v>4264</v>
      </c>
      <c r="G56">
        <v>95.3</v>
      </c>
      <c r="H56">
        <v>4.3</v>
      </c>
      <c r="I56">
        <f t="shared" si="0"/>
        <v>0</v>
      </c>
      <c r="J56">
        <v>6.9000000000000006E-2</v>
      </c>
      <c r="K56">
        <v>13</v>
      </c>
      <c r="L56">
        <v>0.85</v>
      </c>
      <c r="M56">
        <v>0</v>
      </c>
      <c r="N56">
        <v>658072.14</v>
      </c>
      <c r="O56">
        <v>110595.89</v>
      </c>
      <c r="P56">
        <f t="shared" si="1"/>
        <v>0</v>
      </c>
      <c r="Q56">
        <f t="shared" si="2"/>
        <v>0</v>
      </c>
      <c r="R56">
        <f t="shared" si="3"/>
        <v>0</v>
      </c>
      <c r="S56">
        <f t="shared" si="4"/>
        <v>0</v>
      </c>
      <c r="T56">
        <f t="shared" si="5"/>
        <v>0</v>
      </c>
      <c r="U56">
        <f t="shared" si="6"/>
        <v>613899.77651564311</v>
      </c>
      <c r="V56">
        <f t="shared" si="7"/>
        <v>44172.363484356902</v>
      </c>
    </row>
    <row r="57" spans="1:22">
      <c r="A57" t="s">
        <v>50</v>
      </c>
      <c r="B57" s="3">
        <v>45658</v>
      </c>
      <c r="C57" t="s">
        <v>27</v>
      </c>
      <c r="D57" t="s">
        <v>28</v>
      </c>
      <c r="E57">
        <v>61426.04</v>
      </c>
      <c r="F57">
        <v>8966</v>
      </c>
      <c r="G57">
        <v>76.400000000000006</v>
      </c>
      <c r="H57">
        <v>3.1</v>
      </c>
      <c r="I57">
        <f t="shared" si="0"/>
        <v>1</v>
      </c>
      <c r="J57">
        <v>0.17299999999999999</v>
      </c>
      <c r="K57">
        <v>22</v>
      </c>
      <c r="L57">
        <v>1.05</v>
      </c>
      <c r="M57">
        <v>0</v>
      </c>
      <c r="N57">
        <v>778397.97</v>
      </c>
      <c r="O57">
        <v>120044.41</v>
      </c>
      <c r="P57">
        <f t="shared" si="1"/>
        <v>0</v>
      </c>
      <c r="Q57">
        <f t="shared" si="2"/>
        <v>0</v>
      </c>
      <c r="R57">
        <f t="shared" si="3"/>
        <v>0</v>
      </c>
      <c r="S57">
        <f t="shared" si="4"/>
        <v>0</v>
      </c>
      <c r="T57">
        <f t="shared" si="5"/>
        <v>0</v>
      </c>
      <c r="U57">
        <f t="shared" si="6"/>
        <v>734618.53912521747</v>
      </c>
      <c r="V57">
        <f t="shared" si="7"/>
        <v>43779.430874782498</v>
      </c>
    </row>
    <row r="58" spans="1:22">
      <c r="A58" t="s">
        <v>71</v>
      </c>
      <c r="B58" s="3">
        <v>45658</v>
      </c>
      <c r="C58" t="s">
        <v>20</v>
      </c>
      <c r="D58" t="s">
        <v>16</v>
      </c>
      <c r="E58">
        <v>71851.45</v>
      </c>
      <c r="F58">
        <v>4970</v>
      </c>
      <c r="G58">
        <v>89.6</v>
      </c>
      <c r="H58">
        <v>4.2</v>
      </c>
      <c r="I58">
        <f t="shared" si="0"/>
        <v>0</v>
      </c>
      <c r="J58">
        <v>9.8000000000000004E-2</v>
      </c>
      <c r="K58">
        <v>11</v>
      </c>
      <c r="L58">
        <v>0.2</v>
      </c>
      <c r="M58">
        <v>0</v>
      </c>
      <c r="N58">
        <v>691447.43</v>
      </c>
      <c r="O58">
        <v>114077.69</v>
      </c>
      <c r="P58">
        <f t="shared" si="1"/>
        <v>1</v>
      </c>
      <c r="Q58">
        <f t="shared" si="2"/>
        <v>0</v>
      </c>
      <c r="R58">
        <f t="shared" si="3"/>
        <v>0</v>
      </c>
      <c r="S58">
        <f t="shared" si="4"/>
        <v>0</v>
      </c>
      <c r="T58">
        <f t="shared" si="5"/>
        <v>0</v>
      </c>
      <c r="U58">
        <f t="shared" si="6"/>
        <v>648541.6220159611</v>
      </c>
      <c r="V58">
        <f t="shared" si="7"/>
        <v>42905.807984038955</v>
      </c>
    </row>
    <row r="59" spans="1:22">
      <c r="A59" t="s">
        <v>31</v>
      </c>
      <c r="B59" s="3">
        <v>45658</v>
      </c>
      <c r="C59" t="s">
        <v>20</v>
      </c>
      <c r="D59" t="s">
        <v>28</v>
      </c>
      <c r="E59">
        <v>75269.87</v>
      </c>
      <c r="F59">
        <v>8838</v>
      </c>
      <c r="G59">
        <v>83.1</v>
      </c>
      <c r="H59">
        <v>4.2</v>
      </c>
      <c r="I59">
        <f t="shared" si="0"/>
        <v>1</v>
      </c>
      <c r="J59">
        <v>9.1999999999999998E-2</v>
      </c>
      <c r="K59">
        <v>21</v>
      </c>
      <c r="L59">
        <v>9.56</v>
      </c>
      <c r="M59">
        <v>1</v>
      </c>
      <c r="N59">
        <v>820593.93</v>
      </c>
      <c r="O59">
        <v>115860.06</v>
      </c>
      <c r="P59">
        <f t="shared" si="1"/>
        <v>1</v>
      </c>
      <c r="Q59">
        <f t="shared" si="2"/>
        <v>0</v>
      </c>
      <c r="R59">
        <f t="shared" si="3"/>
        <v>0</v>
      </c>
      <c r="S59">
        <f t="shared" si="4"/>
        <v>0</v>
      </c>
      <c r="T59">
        <f t="shared" si="5"/>
        <v>0</v>
      </c>
      <c r="U59">
        <f t="shared" si="6"/>
        <v>778557.93371020968</v>
      </c>
      <c r="V59">
        <f t="shared" si="7"/>
        <v>42035.996289790375</v>
      </c>
    </row>
    <row r="60" spans="1:22">
      <c r="A60" t="s">
        <v>52</v>
      </c>
      <c r="B60" s="3">
        <v>45689</v>
      </c>
      <c r="C60" t="s">
        <v>20</v>
      </c>
      <c r="D60" t="s">
        <v>18</v>
      </c>
      <c r="E60">
        <v>83044.17</v>
      </c>
      <c r="F60">
        <v>3694</v>
      </c>
      <c r="G60">
        <v>89.4</v>
      </c>
      <c r="H60">
        <v>3.7</v>
      </c>
      <c r="I60">
        <f t="shared" si="0"/>
        <v>0</v>
      </c>
      <c r="J60">
        <v>0</v>
      </c>
      <c r="K60">
        <v>14</v>
      </c>
      <c r="L60">
        <v>2.2000000000000002</v>
      </c>
      <c r="M60">
        <v>0</v>
      </c>
      <c r="N60">
        <v>654317.09</v>
      </c>
      <c r="O60">
        <v>121446.89</v>
      </c>
      <c r="P60">
        <f t="shared" si="1"/>
        <v>1</v>
      </c>
      <c r="Q60">
        <f t="shared" si="2"/>
        <v>0</v>
      </c>
      <c r="R60">
        <f t="shared" si="3"/>
        <v>0</v>
      </c>
      <c r="S60">
        <f t="shared" si="4"/>
        <v>0</v>
      </c>
      <c r="T60">
        <f t="shared" si="5"/>
        <v>1</v>
      </c>
      <c r="U60">
        <f t="shared" si="6"/>
        <v>612965.23406186386</v>
      </c>
      <c r="V60">
        <f t="shared" si="7"/>
        <v>41351.855938136112</v>
      </c>
    </row>
    <row r="61" spans="1:22">
      <c r="A61" t="s">
        <v>39</v>
      </c>
      <c r="B61" s="3">
        <v>45748</v>
      </c>
      <c r="C61" t="s">
        <v>15</v>
      </c>
      <c r="D61" t="s">
        <v>18</v>
      </c>
      <c r="E61">
        <v>55081.16</v>
      </c>
      <c r="F61">
        <v>5485</v>
      </c>
      <c r="G61">
        <v>88</v>
      </c>
      <c r="H61">
        <v>3.5</v>
      </c>
      <c r="I61">
        <f t="shared" si="0"/>
        <v>0</v>
      </c>
      <c r="J61">
        <v>3.5999999999999997E-2</v>
      </c>
      <c r="K61">
        <v>12</v>
      </c>
      <c r="L61" s="6">
        <v>4.5599999999999996</v>
      </c>
      <c r="M61">
        <v>0</v>
      </c>
      <c r="N61">
        <v>674774.09</v>
      </c>
      <c r="O61">
        <v>141917.59</v>
      </c>
      <c r="P61">
        <f t="shared" si="1"/>
        <v>0</v>
      </c>
      <c r="Q61">
        <f t="shared" si="2"/>
        <v>0</v>
      </c>
      <c r="R61">
        <f t="shared" si="3"/>
        <v>1</v>
      </c>
      <c r="S61">
        <f t="shared" si="4"/>
        <v>0</v>
      </c>
      <c r="T61">
        <f t="shared" si="5"/>
        <v>1</v>
      </c>
      <c r="U61">
        <f t="shared" si="6"/>
        <v>633855.04332671897</v>
      </c>
      <c r="V61">
        <f t="shared" si="7"/>
        <v>40919.046673281002</v>
      </c>
    </row>
    <row r="62" spans="1:22">
      <c r="A62" t="s">
        <v>50</v>
      </c>
      <c r="B62" s="3">
        <v>45689</v>
      </c>
      <c r="C62" t="s">
        <v>27</v>
      </c>
      <c r="D62" t="s">
        <v>28</v>
      </c>
      <c r="E62">
        <v>80176.34</v>
      </c>
      <c r="F62">
        <v>9489</v>
      </c>
      <c r="G62">
        <v>94.3</v>
      </c>
      <c r="H62">
        <v>3.5</v>
      </c>
      <c r="I62">
        <f t="shared" si="0"/>
        <v>1</v>
      </c>
      <c r="J62">
        <v>0.14199999999999999</v>
      </c>
      <c r="K62">
        <v>22</v>
      </c>
      <c r="L62">
        <v>2.67</v>
      </c>
      <c r="M62">
        <v>0</v>
      </c>
      <c r="N62">
        <v>873380.02</v>
      </c>
      <c r="O62">
        <v>149734.76</v>
      </c>
      <c r="P62">
        <f t="shared" si="1"/>
        <v>0</v>
      </c>
      <c r="Q62">
        <f t="shared" si="2"/>
        <v>0</v>
      </c>
      <c r="R62">
        <f t="shared" si="3"/>
        <v>0</v>
      </c>
      <c r="S62">
        <f t="shared" si="4"/>
        <v>0</v>
      </c>
      <c r="T62">
        <f t="shared" si="5"/>
        <v>0</v>
      </c>
      <c r="U62">
        <f t="shared" si="6"/>
        <v>833088.26268423349</v>
      </c>
      <c r="V62">
        <f t="shared" si="7"/>
        <v>40291.757315766532</v>
      </c>
    </row>
    <row r="63" spans="1:22">
      <c r="A63" t="s">
        <v>66</v>
      </c>
      <c r="B63" s="3">
        <v>45658</v>
      </c>
      <c r="C63" t="s">
        <v>27</v>
      </c>
      <c r="D63" t="s">
        <v>21</v>
      </c>
      <c r="E63">
        <v>67494.09</v>
      </c>
      <c r="F63">
        <v>12361</v>
      </c>
      <c r="G63">
        <v>76.599999999999994</v>
      </c>
      <c r="H63">
        <v>3.7</v>
      </c>
      <c r="I63">
        <f t="shared" si="0"/>
        <v>0</v>
      </c>
      <c r="J63">
        <v>4.5999999999999999E-2</v>
      </c>
      <c r="K63">
        <v>24</v>
      </c>
      <c r="L63">
        <v>3.65</v>
      </c>
      <c r="M63">
        <v>1</v>
      </c>
      <c r="N63">
        <v>887537.75</v>
      </c>
      <c r="O63">
        <v>160362.92000000001</v>
      </c>
      <c r="P63">
        <f t="shared" si="1"/>
        <v>0</v>
      </c>
      <c r="Q63">
        <f t="shared" si="2"/>
        <v>0</v>
      </c>
      <c r="R63">
        <f t="shared" si="3"/>
        <v>0</v>
      </c>
      <c r="S63">
        <f t="shared" si="4"/>
        <v>1</v>
      </c>
      <c r="T63">
        <f t="shared" si="5"/>
        <v>0</v>
      </c>
      <c r="U63">
        <f t="shared" si="6"/>
        <v>847930.10149235278</v>
      </c>
      <c r="V63">
        <f t="shared" si="7"/>
        <v>39607.648507647216</v>
      </c>
    </row>
    <row r="64" spans="1:22">
      <c r="A64" t="s">
        <v>88</v>
      </c>
      <c r="B64" s="3">
        <v>45748</v>
      </c>
      <c r="C64" t="s">
        <v>15</v>
      </c>
      <c r="D64" t="s">
        <v>18</v>
      </c>
      <c r="E64">
        <v>67722.289999999994</v>
      </c>
      <c r="F64">
        <v>7240</v>
      </c>
      <c r="G64">
        <v>92.9</v>
      </c>
      <c r="H64">
        <v>3.5</v>
      </c>
      <c r="I64">
        <f t="shared" si="0"/>
        <v>0</v>
      </c>
      <c r="J64">
        <v>2.5999999999999999E-2</v>
      </c>
      <c r="K64">
        <v>15</v>
      </c>
      <c r="L64">
        <v>0.28999999999999998</v>
      </c>
      <c r="M64">
        <v>0</v>
      </c>
      <c r="N64">
        <v>762328.31</v>
      </c>
      <c r="O64">
        <v>159158.19</v>
      </c>
      <c r="P64">
        <f t="shared" si="1"/>
        <v>0</v>
      </c>
      <c r="Q64">
        <f t="shared" si="2"/>
        <v>0</v>
      </c>
      <c r="R64">
        <f t="shared" si="3"/>
        <v>1</v>
      </c>
      <c r="S64">
        <f t="shared" si="4"/>
        <v>0</v>
      </c>
      <c r="T64">
        <f t="shared" si="5"/>
        <v>1</v>
      </c>
      <c r="U64">
        <f t="shared" si="6"/>
        <v>722942.6985864162</v>
      </c>
      <c r="V64">
        <f t="shared" si="7"/>
        <v>39385.611413583858</v>
      </c>
    </row>
    <row r="65" spans="1:22">
      <c r="A65" t="s">
        <v>89</v>
      </c>
      <c r="B65" s="3">
        <v>45689</v>
      </c>
      <c r="C65" t="s">
        <v>15</v>
      </c>
      <c r="D65" t="s">
        <v>28</v>
      </c>
      <c r="E65">
        <v>23914.97</v>
      </c>
      <c r="F65">
        <v>8018</v>
      </c>
      <c r="G65">
        <v>89</v>
      </c>
      <c r="H65">
        <v>3.5</v>
      </c>
      <c r="I65">
        <f t="shared" si="0"/>
        <v>1</v>
      </c>
      <c r="J65">
        <v>0.13900000000000001</v>
      </c>
      <c r="K65">
        <v>20</v>
      </c>
      <c r="L65">
        <v>0.2</v>
      </c>
      <c r="M65">
        <v>0</v>
      </c>
      <c r="N65">
        <v>739374.56</v>
      </c>
      <c r="O65">
        <v>121032.29</v>
      </c>
      <c r="P65">
        <f t="shared" si="1"/>
        <v>0</v>
      </c>
      <c r="Q65">
        <f t="shared" si="2"/>
        <v>0</v>
      </c>
      <c r="R65">
        <f t="shared" si="3"/>
        <v>1</v>
      </c>
      <c r="S65">
        <f t="shared" si="4"/>
        <v>0</v>
      </c>
      <c r="T65">
        <f t="shared" si="5"/>
        <v>0</v>
      </c>
      <c r="U65">
        <f t="shared" si="6"/>
        <v>700608.52547746338</v>
      </c>
      <c r="V65">
        <f t="shared" si="7"/>
        <v>38766.034522536676</v>
      </c>
    </row>
    <row r="66" spans="1:22">
      <c r="A66" t="s">
        <v>75</v>
      </c>
      <c r="B66" s="3">
        <v>45689</v>
      </c>
      <c r="C66" t="s">
        <v>27</v>
      </c>
      <c r="D66" t="s">
        <v>16</v>
      </c>
      <c r="E66">
        <v>41819.449999999997</v>
      </c>
      <c r="F66">
        <v>9412</v>
      </c>
      <c r="G66">
        <v>91</v>
      </c>
      <c r="H66">
        <v>4.2</v>
      </c>
      <c r="I66">
        <f t="shared" ref="I66:I129" si="8">IF(D66="Mall",1,0)</f>
        <v>0</v>
      </c>
      <c r="J66">
        <v>0.15</v>
      </c>
      <c r="K66">
        <v>22</v>
      </c>
      <c r="L66">
        <v>3.67</v>
      </c>
      <c r="M66">
        <v>0</v>
      </c>
      <c r="N66">
        <v>804975.5</v>
      </c>
      <c r="O66">
        <v>140054.5</v>
      </c>
      <c r="P66">
        <f t="shared" ref="P66:P129" si="9">IF(C66="North",1,0)</f>
        <v>0</v>
      </c>
      <c r="Q66">
        <f t="shared" ref="Q66:Q129" si="10">IF(C66="South",1,0)</f>
        <v>0</v>
      </c>
      <c r="R66">
        <f t="shared" ref="R66:R129" si="11">IF(C66="East",1,0)</f>
        <v>0</v>
      </c>
      <c r="S66">
        <f t="shared" ref="S66:S129" si="12">IF(D66="Airport",1,0)</f>
        <v>0</v>
      </c>
      <c r="T66">
        <f t="shared" ref="T66:T129" si="13">IF(D66="High Street",1,0)</f>
        <v>0</v>
      </c>
      <c r="U66">
        <f t="shared" ref="U66:U129" si="14">79514.81031
+(1.186491387*E66)
+(33.72856095*F66)
+(3039.885495*G66)
+(10421.66592*H66)
+(15257.56777*I66)</f>
        <v>766987.02011447714</v>
      </c>
      <c r="V66">
        <f t="shared" ref="V66:V129" si="15">N66-U66</f>
        <v>37988.479885522858</v>
      </c>
    </row>
    <row r="67" spans="1:22">
      <c r="A67" t="s">
        <v>33</v>
      </c>
      <c r="B67" s="3">
        <v>45717</v>
      </c>
      <c r="C67" t="s">
        <v>27</v>
      </c>
      <c r="D67" t="s">
        <v>16</v>
      </c>
      <c r="E67">
        <v>50043.65</v>
      </c>
      <c r="F67">
        <v>3804</v>
      </c>
      <c r="G67">
        <v>90.9</v>
      </c>
      <c r="H67">
        <v>3.2</v>
      </c>
      <c r="I67">
        <f t="shared" si="8"/>
        <v>0</v>
      </c>
      <c r="J67">
        <v>0.113</v>
      </c>
      <c r="K67">
        <v>11</v>
      </c>
      <c r="L67">
        <v>2.7</v>
      </c>
      <c r="M67">
        <v>1</v>
      </c>
      <c r="N67">
        <v>614800.09</v>
      </c>
      <c r="O67">
        <v>100044.2</v>
      </c>
      <c r="P67">
        <f t="shared" si="9"/>
        <v>0</v>
      </c>
      <c r="Q67">
        <f t="shared" si="10"/>
        <v>0</v>
      </c>
      <c r="R67">
        <f t="shared" si="11"/>
        <v>0</v>
      </c>
      <c r="S67">
        <f t="shared" si="12"/>
        <v>0</v>
      </c>
      <c r="T67">
        <f t="shared" si="13"/>
        <v>0</v>
      </c>
      <c r="U67">
        <f t="shared" si="14"/>
        <v>576869.53830234264</v>
      </c>
      <c r="V67">
        <f t="shared" si="15"/>
        <v>37930.551697657327</v>
      </c>
    </row>
    <row r="68" spans="1:22">
      <c r="A68" t="s">
        <v>69</v>
      </c>
      <c r="B68" s="3">
        <v>45658</v>
      </c>
      <c r="C68" t="s">
        <v>15</v>
      </c>
      <c r="D68" t="s">
        <v>18</v>
      </c>
      <c r="E68">
        <v>71641.899999999994</v>
      </c>
      <c r="F68">
        <v>3506</v>
      </c>
      <c r="G68">
        <v>86.4</v>
      </c>
      <c r="H68">
        <v>4.0999999999999996</v>
      </c>
      <c r="I68">
        <f t="shared" si="8"/>
        <v>0</v>
      </c>
      <c r="J68">
        <v>0</v>
      </c>
      <c r="K68">
        <v>11</v>
      </c>
      <c r="L68">
        <v>7.77</v>
      </c>
      <c r="M68">
        <v>0</v>
      </c>
      <c r="N68">
        <v>625993.82999999996</v>
      </c>
      <c r="O68">
        <v>98960.320000000007</v>
      </c>
      <c r="P68">
        <f t="shared" si="9"/>
        <v>0</v>
      </c>
      <c r="Q68">
        <f t="shared" si="10"/>
        <v>0</v>
      </c>
      <c r="R68">
        <f t="shared" si="11"/>
        <v>1</v>
      </c>
      <c r="S68">
        <f t="shared" si="12"/>
        <v>0</v>
      </c>
      <c r="T68">
        <f t="shared" si="13"/>
        <v>1</v>
      </c>
      <c r="U68">
        <f t="shared" si="14"/>
        <v>588144.5793390153</v>
      </c>
      <c r="V68">
        <f t="shared" si="15"/>
        <v>37849.25066098466</v>
      </c>
    </row>
    <row r="69" spans="1:22">
      <c r="A69" t="s">
        <v>44</v>
      </c>
      <c r="B69" s="3">
        <v>45658</v>
      </c>
      <c r="C69" t="s">
        <v>24</v>
      </c>
      <c r="D69" t="s">
        <v>28</v>
      </c>
      <c r="E69">
        <v>50517.94</v>
      </c>
      <c r="F69">
        <v>7024</v>
      </c>
      <c r="G69">
        <v>79.2</v>
      </c>
      <c r="H69">
        <v>4.0999999999999996</v>
      </c>
      <c r="I69">
        <f t="shared" si="8"/>
        <v>1</v>
      </c>
      <c r="J69">
        <v>2.9000000000000001E-2</v>
      </c>
      <c r="K69">
        <v>18</v>
      </c>
      <c r="L69">
        <v>6.61</v>
      </c>
      <c r="M69">
        <v>1</v>
      </c>
      <c r="N69">
        <v>711213.46</v>
      </c>
      <c r="O69">
        <v>105863.26</v>
      </c>
      <c r="P69">
        <f t="shared" si="9"/>
        <v>0</v>
      </c>
      <c r="Q69">
        <f t="shared" si="10"/>
        <v>1</v>
      </c>
      <c r="R69">
        <f t="shared" si="11"/>
        <v>0</v>
      </c>
      <c r="S69">
        <f t="shared" si="12"/>
        <v>0</v>
      </c>
      <c r="T69">
        <f t="shared" si="13"/>
        <v>0</v>
      </c>
      <c r="U69">
        <f t="shared" si="14"/>
        <v>675108.6523677829</v>
      </c>
      <c r="V69">
        <f t="shared" si="15"/>
        <v>36104.807632217067</v>
      </c>
    </row>
    <row r="70" spans="1:22">
      <c r="A70" t="s">
        <v>22</v>
      </c>
      <c r="B70" s="3">
        <v>45658</v>
      </c>
      <c r="C70" t="s">
        <v>15</v>
      </c>
      <c r="D70" t="s">
        <v>16</v>
      </c>
      <c r="E70">
        <v>71828.259999999995</v>
      </c>
      <c r="F70">
        <v>12775</v>
      </c>
      <c r="G70">
        <v>81.7</v>
      </c>
      <c r="H70">
        <v>4.2</v>
      </c>
      <c r="I70">
        <f t="shared" si="8"/>
        <v>0</v>
      </c>
      <c r="J70">
        <v>0.11600000000000001</v>
      </c>
      <c r="K70">
        <v>30</v>
      </c>
      <c r="L70">
        <v>4.24</v>
      </c>
      <c r="M70">
        <v>1</v>
      </c>
      <c r="N70">
        <v>922168.6</v>
      </c>
      <c r="O70">
        <v>107494.53</v>
      </c>
      <c r="P70">
        <f t="shared" si="9"/>
        <v>0</v>
      </c>
      <c r="Q70">
        <f t="shared" si="10"/>
        <v>0</v>
      </c>
      <c r="R70">
        <f t="shared" si="11"/>
        <v>1</v>
      </c>
      <c r="S70">
        <f t="shared" si="12"/>
        <v>0</v>
      </c>
      <c r="T70">
        <f t="shared" si="13"/>
        <v>0</v>
      </c>
      <c r="U70">
        <f t="shared" si="14"/>
        <v>887750.43008494668</v>
      </c>
      <c r="V70">
        <f t="shared" si="15"/>
        <v>34418.169915053295</v>
      </c>
    </row>
    <row r="71" spans="1:22">
      <c r="A71" t="s">
        <v>75</v>
      </c>
      <c r="B71" s="3">
        <v>45658</v>
      </c>
      <c r="C71" t="s">
        <v>27</v>
      </c>
      <c r="D71" t="s">
        <v>16</v>
      </c>
      <c r="E71">
        <v>50887.46</v>
      </c>
      <c r="F71">
        <v>9505</v>
      </c>
      <c r="G71">
        <v>89.7</v>
      </c>
      <c r="H71">
        <v>4.3</v>
      </c>
      <c r="I71">
        <f t="shared" si="8"/>
        <v>0</v>
      </c>
      <c r="J71">
        <v>9.0999999999999998E-2</v>
      </c>
      <c r="K71">
        <v>25</v>
      </c>
      <c r="L71">
        <v>2.8</v>
      </c>
      <c r="M71">
        <v>0</v>
      </c>
      <c r="N71">
        <v>812152.6</v>
      </c>
      <c r="O71">
        <v>138419.43</v>
      </c>
      <c r="P71">
        <f t="shared" si="9"/>
        <v>0</v>
      </c>
      <c r="Q71">
        <f t="shared" si="10"/>
        <v>0</v>
      </c>
      <c r="R71">
        <f t="shared" si="11"/>
        <v>0</v>
      </c>
      <c r="S71">
        <f t="shared" si="12"/>
        <v>0</v>
      </c>
      <c r="T71">
        <f t="shared" si="13"/>
        <v>0</v>
      </c>
      <c r="U71">
        <f t="shared" si="14"/>
        <v>777973.20749355701</v>
      </c>
      <c r="V71">
        <f t="shared" si="15"/>
        <v>34179.392506442964</v>
      </c>
    </row>
    <row r="72" spans="1:22">
      <c r="A72" t="s">
        <v>63</v>
      </c>
      <c r="B72" s="3">
        <v>45658</v>
      </c>
      <c r="C72" t="s">
        <v>20</v>
      </c>
      <c r="D72" t="s">
        <v>28</v>
      </c>
      <c r="E72">
        <v>72150.53</v>
      </c>
      <c r="F72">
        <v>9323</v>
      </c>
      <c r="G72">
        <v>82.9</v>
      </c>
      <c r="H72">
        <v>4.3</v>
      </c>
      <c r="I72">
        <f t="shared" si="8"/>
        <v>1</v>
      </c>
      <c r="J72">
        <v>0.157</v>
      </c>
      <c r="K72">
        <v>22</v>
      </c>
      <c r="L72">
        <v>11.37</v>
      </c>
      <c r="M72">
        <v>1</v>
      </c>
      <c r="N72">
        <v>825797.91</v>
      </c>
      <c r="O72">
        <v>130945.24</v>
      </c>
      <c r="P72">
        <f t="shared" si="9"/>
        <v>1</v>
      </c>
      <c r="Q72">
        <f t="shared" si="10"/>
        <v>0</v>
      </c>
      <c r="R72">
        <f t="shared" si="11"/>
        <v>0</v>
      </c>
      <c r="S72">
        <f t="shared" si="12"/>
        <v>0</v>
      </c>
      <c r="T72">
        <f t="shared" si="13"/>
        <v>0</v>
      </c>
      <c r="U72">
        <f t="shared" si="14"/>
        <v>791649.40522083512</v>
      </c>
      <c r="V72">
        <f t="shared" si="15"/>
        <v>34148.504779164912</v>
      </c>
    </row>
    <row r="73" spans="1:22">
      <c r="A73" t="s">
        <v>91</v>
      </c>
      <c r="B73" s="3">
        <v>45689</v>
      </c>
      <c r="C73" t="s">
        <v>24</v>
      </c>
      <c r="D73" t="s">
        <v>16</v>
      </c>
      <c r="E73">
        <v>36832.33</v>
      </c>
      <c r="F73">
        <v>8001</v>
      </c>
      <c r="G73">
        <v>88.7</v>
      </c>
      <c r="H73">
        <v>4</v>
      </c>
      <c r="I73">
        <f t="shared" si="8"/>
        <v>0</v>
      </c>
      <c r="J73">
        <v>0</v>
      </c>
      <c r="K73">
        <v>19</v>
      </c>
      <c r="L73">
        <v>3.39</v>
      </c>
      <c r="M73">
        <v>0</v>
      </c>
      <c r="N73">
        <v>738548.42</v>
      </c>
      <c r="O73">
        <v>134282.76999999999</v>
      </c>
      <c r="P73">
        <f t="shared" si="9"/>
        <v>0</v>
      </c>
      <c r="Q73">
        <f t="shared" si="10"/>
        <v>1</v>
      </c>
      <c r="R73">
        <f t="shared" si="11"/>
        <v>0</v>
      </c>
      <c r="S73">
        <f t="shared" si="12"/>
        <v>0</v>
      </c>
      <c r="T73">
        <f t="shared" si="13"/>
        <v>0</v>
      </c>
      <c r="U73">
        <f t="shared" si="14"/>
        <v>704402.77586559183</v>
      </c>
      <c r="V73">
        <f t="shared" si="15"/>
        <v>34145.644134408212</v>
      </c>
    </row>
    <row r="74" spans="1:22">
      <c r="A74" t="s">
        <v>98</v>
      </c>
      <c r="B74" s="3">
        <v>45658</v>
      </c>
      <c r="C74" t="s">
        <v>24</v>
      </c>
      <c r="D74" t="s">
        <v>16</v>
      </c>
      <c r="E74">
        <v>54948.02</v>
      </c>
      <c r="F74">
        <v>6534</v>
      </c>
      <c r="G74">
        <v>94.5</v>
      </c>
      <c r="H74">
        <v>4</v>
      </c>
      <c r="I74">
        <f t="shared" si="8"/>
        <v>0</v>
      </c>
      <c r="J74">
        <v>0.183</v>
      </c>
      <c r="K74">
        <v>14</v>
      </c>
      <c r="L74">
        <v>1.56</v>
      </c>
      <c r="M74">
        <v>0</v>
      </c>
      <c r="N74">
        <v>727957.48</v>
      </c>
      <c r="O74">
        <v>74805.23</v>
      </c>
      <c r="P74">
        <f t="shared" si="9"/>
        <v>0</v>
      </c>
      <c r="Q74">
        <f t="shared" si="10"/>
        <v>1</v>
      </c>
      <c r="R74">
        <f t="shared" si="11"/>
        <v>0</v>
      </c>
      <c r="S74">
        <f t="shared" si="12"/>
        <v>0</v>
      </c>
      <c r="T74">
        <f t="shared" si="13"/>
        <v>0</v>
      </c>
      <c r="U74">
        <f t="shared" si="14"/>
        <v>694048.42297750374</v>
      </c>
      <c r="V74">
        <f t="shared" si="15"/>
        <v>33909.057022496243</v>
      </c>
    </row>
    <row r="75" spans="1:22">
      <c r="A75" t="s">
        <v>56</v>
      </c>
      <c r="B75" s="3">
        <v>45689</v>
      </c>
      <c r="C75" t="s">
        <v>24</v>
      </c>
      <c r="D75" t="s">
        <v>16</v>
      </c>
      <c r="E75">
        <v>75109.67</v>
      </c>
      <c r="F75">
        <v>6244</v>
      </c>
      <c r="G75">
        <v>96.3</v>
      </c>
      <c r="H75">
        <v>3.7</v>
      </c>
      <c r="I75">
        <f t="shared" si="8"/>
        <v>0</v>
      </c>
      <c r="J75">
        <v>7.9000000000000001E-2</v>
      </c>
      <c r="K75">
        <v>15</v>
      </c>
      <c r="L75">
        <v>7.38</v>
      </c>
      <c r="M75">
        <v>0</v>
      </c>
      <c r="N75">
        <v>743348.84</v>
      </c>
      <c r="O75">
        <v>104186.09</v>
      </c>
      <c r="P75">
        <f t="shared" si="9"/>
        <v>0</v>
      </c>
      <c r="Q75">
        <f t="shared" si="10"/>
        <v>1</v>
      </c>
      <c r="R75">
        <f t="shared" si="11"/>
        <v>0</v>
      </c>
      <c r="S75">
        <f t="shared" si="12"/>
        <v>0</v>
      </c>
      <c r="T75">
        <f t="shared" si="13"/>
        <v>0</v>
      </c>
      <c r="U75">
        <f t="shared" si="14"/>
        <v>710534.0584897123</v>
      </c>
      <c r="V75">
        <f t="shared" si="15"/>
        <v>32814.781510287663</v>
      </c>
    </row>
    <row r="76" spans="1:22">
      <c r="A76" t="s">
        <v>59</v>
      </c>
      <c r="B76" s="3">
        <v>45717</v>
      </c>
      <c r="C76" t="s">
        <v>24</v>
      </c>
      <c r="D76" t="s">
        <v>28</v>
      </c>
      <c r="E76">
        <v>47093.55</v>
      </c>
      <c r="F76">
        <v>5550</v>
      </c>
      <c r="G76">
        <v>95</v>
      </c>
      <c r="H76">
        <v>3.7</v>
      </c>
      <c r="I76">
        <f t="shared" si="8"/>
        <v>1</v>
      </c>
      <c r="J76">
        <v>0.1</v>
      </c>
      <c r="K76">
        <v>12</v>
      </c>
      <c r="L76">
        <v>2.33</v>
      </c>
      <c r="M76">
        <v>1</v>
      </c>
      <c r="N76">
        <v>696744.15</v>
      </c>
      <c r="O76">
        <v>152230.09</v>
      </c>
      <c r="P76">
        <f t="shared" si="9"/>
        <v>0</v>
      </c>
      <c r="Q76">
        <f t="shared" si="10"/>
        <v>1</v>
      </c>
      <c r="R76">
        <f t="shared" si="11"/>
        <v>0</v>
      </c>
      <c r="S76">
        <f t="shared" si="12"/>
        <v>0</v>
      </c>
      <c r="T76">
        <f t="shared" si="13"/>
        <v>0</v>
      </c>
      <c r="U76">
        <f t="shared" si="14"/>
        <v>665191.26873975387</v>
      </c>
      <c r="V76">
        <f t="shared" si="15"/>
        <v>31552.881260246155</v>
      </c>
    </row>
    <row r="77" spans="1:22">
      <c r="A77" t="s">
        <v>35</v>
      </c>
      <c r="B77" s="3">
        <v>45689</v>
      </c>
      <c r="C77" t="s">
        <v>27</v>
      </c>
      <c r="D77" t="s">
        <v>18</v>
      </c>
      <c r="E77">
        <v>99874.01</v>
      </c>
      <c r="F77">
        <v>5887</v>
      </c>
      <c r="G77">
        <v>88.7</v>
      </c>
      <c r="H77">
        <v>4.7</v>
      </c>
      <c r="I77">
        <f t="shared" si="8"/>
        <v>0</v>
      </c>
      <c r="J77">
        <v>0.26200000000000001</v>
      </c>
      <c r="K77">
        <v>14</v>
      </c>
      <c r="L77">
        <v>6.18</v>
      </c>
      <c r="M77">
        <v>0</v>
      </c>
      <c r="N77">
        <v>746677.75</v>
      </c>
      <c r="O77">
        <v>122437.84</v>
      </c>
      <c r="P77">
        <f t="shared" si="9"/>
        <v>0</v>
      </c>
      <c r="Q77">
        <f t="shared" si="10"/>
        <v>0</v>
      </c>
      <c r="R77">
        <f t="shared" si="11"/>
        <v>0</v>
      </c>
      <c r="S77">
        <f t="shared" si="12"/>
        <v>0</v>
      </c>
      <c r="T77">
        <f t="shared" si="13"/>
        <v>1</v>
      </c>
      <c r="U77">
        <f t="shared" si="14"/>
        <v>715194.17450330185</v>
      </c>
      <c r="V77">
        <f t="shared" si="15"/>
        <v>31483.575496698148</v>
      </c>
    </row>
    <row r="78" spans="1:22">
      <c r="A78" t="s">
        <v>47</v>
      </c>
      <c r="B78" s="3">
        <v>45658</v>
      </c>
      <c r="C78" t="s">
        <v>15</v>
      </c>
      <c r="D78" t="s">
        <v>28</v>
      </c>
      <c r="E78">
        <v>53084.76</v>
      </c>
      <c r="F78">
        <v>3642</v>
      </c>
      <c r="G78">
        <v>91.4</v>
      </c>
      <c r="H78">
        <v>4.4000000000000004</v>
      </c>
      <c r="I78">
        <f t="shared" si="8"/>
        <v>1</v>
      </c>
      <c r="J78">
        <v>0.15</v>
      </c>
      <c r="K78">
        <v>12</v>
      </c>
      <c r="L78">
        <v>0.2</v>
      </c>
      <c r="M78">
        <v>0</v>
      </c>
      <c r="N78">
        <v>635181.35</v>
      </c>
      <c r="O78">
        <v>83341.25</v>
      </c>
      <c r="P78">
        <f t="shared" si="9"/>
        <v>0</v>
      </c>
      <c r="Q78">
        <f t="shared" si="10"/>
        <v>0</v>
      </c>
      <c r="R78">
        <f t="shared" si="11"/>
        <v>1</v>
      </c>
      <c r="S78">
        <f t="shared" si="12"/>
        <v>0</v>
      </c>
      <c r="T78">
        <f t="shared" si="13"/>
        <v>0</v>
      </c>
      <c r="U78">
        <f t="shared" si="14"/>
        <v>604297.27187186212</v>
      </c>
      <c r="V78">
        <f t="shared" si="15"/>
        <v>30884.078128137859</v>
      </c>
    </row>
    <row r="79" spans="1:22">
      <c r="A79" t="s">
        <v>82</v>
      </c>
      <c r="B79" s="3">
        <v>45717</v>
      </c>
      <c r="C79" t="s">
        <v>24</v>
      </c>
      <c r="D79" t="s">
        <v>21</v>
      </c>
      <c r="E79">
        <v>70799.64</v>
      </c>
      <c r="F79">
        <v>10076</v>
      </c>
      <c r="G79">
        <v>84.8</v>
      </c>
      <c r="H79">
        <v>3.5</v>
      </c>
      <c r="I79">
        <f t="shared" si="8"/>
        <v>0</v>
      </c>
      <c r="J79">
        <v>0.152</v>
      </c>
      <c r="K79">
        <v>24</v>
      </c>
      <c r="L79">
        <v>1.87</v>
      </c>
      <c r="M79">
        <v>0</v>
      </c>
      <c r="N79">
        <v>828219.67</v>
      </c>
      <c r="O79">
        <v>179806.87</v>
      </c>
      <c r="P79">
        <f t="shared" si="9"/>
        <v>0</v>
      </c>
      <c r="Q79">
        <f t="shared" si="10"/>
        <v>1</v>
      </c>
      <c r="R79">
        <f t="shared" si="11"/>
        <v>0</v>
      </c>
      <c r="S79">
        <f t="shared" si="12"/>
        <v>1</v>
      </c>
      <c r="T79">
        <f t="shared" si="13"/>
        <v>0</v>
      </c>
      <c r="U79">
        <f t="shared" si="14"/>
        <v>797625.07420090062</v>
      </c>
      <c r="V79">
        <f t="shared" si="15"/>
        <v>30594.595799099421</v>
      </c>
    </row>
    <row r="80" spans="1:22">
      <c r="A80" t="s">
        <v>82</v>
      </c>
      <c r="B80" s="3">
        <v>45748</v>
      </c>
      <c r="C80" t="s">
        <v>24</v>
      </c>
      <c r="D80" t="s">
        <v>21</v>
      </c>
      <c r="E80">
        <v>53546.34</v>
      </c>
      <c r="F80">
        <v>8004</v>
      </c>
      <c r="G80">
        <v>95.2</v>
      </c>
      <c r="H80">
        <v>3</v>
      </c>
      <c r="I80">
        <f t="shared" si="8"/>
        <v>0</v>
      </c>
      <c r="J80">
        <v>0</v>
      </c>
      <c r="K80">
        <v>21</v>
      </c>
      <c r="L80">
        <v>2.83</v>
      </c>
      <c r="M80">
        <v>0</v>
      </c>
      <c r="N80">
        <v>763159.92</v>
      </c>
      <c r="O80">
        <v>177104.87</v>
      </c>
      <c r="P80">
        <f t="shared" si="9"/>
        <v>0</v>
      </c>
      <c r="Q80">
        <f t="shared" si="10"/>
        <v>1</v>
      </c>
      <c r="R80">
        <f t="shared" si="11"/>
        <v>0</v>
      </c>
      <c r="S80">
        <f t="shared" si="12"/>
        <v>1</v>
      </c>
      <c r="T80">
        <f t="shared" si="13"/>
        <v>0</v>
      </c>
      <c r="U80">
        <f t="shared" si="14"/>
        <v>733672.5802531736</v>
      </c>
      <c r="V80">
        <f t="shared" si="15"/>
        <v>29487.339746826445</v>
      </c>
    </row>
    <row r="81" spans="1:22">
      <c r="A81" t="s">
        <v>92</v>
      </c>
      <c r="B81" s="3">
        <v>45717</v>
      </c>
      <c r="C81" t="s">
        <v>24</v>
      </c>
      <c r="D81" t="s">
        <v>18</v>
      </c>
      <c r="E81">
        <v>66104.19</v>
      </c>
      <c r="F81">
        <v>5745</v>
      </c>
      <c r="G81">
        <v>95.8</v>
      </c>
      <c r="H81">
        <v>4</v>
      </c>
      <c r="I81">
        <f t="shared" si="8"/>
        <v>0</v>
      </c>
      <c r="J81">
        <v>7.0000000000000007E-2</v>
      </c>
      <c r="K81">
        <v>17</v>
      </c>
      <c r="L81">
        <v>3.15</v>
      </c>
      <c r="M81">
        <v>0</v>
      </c>
      <c r="N81">
        <v>714083.68</v>
      </c>
      <c r="O81">
        <v>127231.74</v>
      </c>
      <c r="P81">
        <f t="shared" si="9"/>
        <v>0</v>
      </c>
      <c r="Q81">
        <f t="shared" si="10"/>
        <v>1</v>
      </c>
      <c r="R81">
        <f t="shared" si="11"/>
        <v>0</v>
      </c>
      <c r="S81">
        <f t="shared" si="12"/>
        <v>0</v>
      </c>
      <c r="T81">
        <f t="shared" si="13"/>
        <v>1</v>
      </c>
      <c r="U81">
        <f t="shared" si="14"/>
        <v>684625.13914836152</v>
      </c>
      <c r="V81">
        <f t="shared" si="15"/>
        <v>29458.540851638536</v>
      </c>
    </row>
    <row r="82" spans="1:22">
      <c r="A82" t="s">
        <v>88</v>
      </c>
      <c r="B82" s="3">
        <v>45689</v>
      </c>
      <c r="C82" t="s">
        <v>15</v>
      </c>
      <c r="D82" t="s">
        <v>18</v>
      </c>
      <c r="E82">
        <v>73454.539999999994</v>
      </c>
      <c r="F82">
        <v>8129</v>
      </c>
      <c r="G82">
        <v>85.2</v>
      </c>
      <c r="H82">
        <v>3.7</v>
      </c>
      <c r="I82">
        <f t="shared" si="8"/>
        <v>0</v>
      </c>
      <c r="J82">
        <v>0.21099999999999999</v>
      </c>
      <c r="K82">
        <v>20</v>
      </c>
      <c r="L82">
        <v>0.88</v>
      </c>
      <c r="M82">
        <v>0</v>
      </c>
      <c r="N82">
        <v>767792.94</v>
      </c>
      <c r="O82">
        <v>96235.77</v>
      </c>
      <c r="P82">
        <f t="shared" si="9"/>
        <v>0</v>
      </c>
      <c r="Q82">
        <f t="shared" si="10"/>
        <v>0</v>
      </c>
      <c r="R82">
        <f t="shared" si="11"/>
        <v>1</v>
      </c>
      <c r="S82">
        <f t="shared" si="12"/>
        <v>0</v>
      </c>
      <c r="T82">
        <f t="shared" si="13"/>
        <v>1</v>
      </c>
      <c r="U82">
        <f t="shared" si="14"/>
        <v>738405.86939659691</v>
      </c>
      <c r="V82">
        <f t="shared" si="15"/>
        <v>29387.07060340303</v>
      </c>
    </row>
    <row r="83" spans="1:22">
      <c r="A83" t="s">
        <v>87</v>
      </c>
      <c r="B83" s="3">
        <v>45748</v>
      </c>
      <c r="C83" t="s">
        <v>27</v>
      </c>
      <c r="D83" t="s">
        <v>18</v>
      </c>
      <c r="E83">
        <v>58688.26</v>
      </c>
      <c r="F83">
        <v>4022</v>
      </c>
      <c r="G83">
        <v>93.8</v>
      </c>
      <c r="H83">
        <v>3.7</v>
      </c>
      <c r="I83">
        <f t="shared" si="8"/>
        <v>0</v>
      </c>
      <c r="J83">
        <v>0.217</v>
      </c>
      <c r="K83">
        <v>12</v>
      </c>
      <c r="L83">
        <v>11.78</v>
      </c>
      <c r="M83">
        <v>0</v>
      </c>
      <c r="N83">
        <v>636613.23</v>
      </c>
      <c r="O83">
        <v>78908.350000000006</v>
      </c>
      <c r="P83">
        <f t="shared" si="9"/>
        <v>0</v>
      </c>
      <c r="Q83">
        <f t="shared" si="10"/>
        <v>0</v>
      </c>
      <c r="R83">
        <f t="shared" si="11"/>
        <v>0</v>
      </c>
      <c r="S83">
        <f t="shared" si="12"/>
        <v>0</v>
      </c>
      <c r="T83">
        <f t="shared" si="13"/>
        <v>1</v>
      </c>
      <c r="U83">
        <f t="shared" si="14"/>
        <v>608505.62079391663</v>
      </c>
      <c r="V83">
        <f t="shared" si="15"/>
        <v>28107.609206083347</v>
      </c>
    </row>
    <row r="84" spans="1:22">
      <c r="A84" t="s">
        <v>44</v>
      </c>
      <c r="B84" s="3">
        <v>45748</v>
      </c>
      <c r="C84" t="s">
        <v>24</v>
      </c>
      <c r="D84" t="s">
        <v>28</v>
      </c>
      <c r="E84">
        <v>31207.51</v>
      </c>
      <c r="F84">
        <v>3701</v>
      </c>
      <c r="G84">
        <v>84.7</v>
      </c>
      <c r="H84">
        <v>4.3</v>
      </c>
      <c r="I84">
        <f t="shared" si="8"/>
        <v>1</v>
      </c>
      <c r="J84">
        <v>4.2999999999999997E-2</v>
      </c>
      <c r="K84">
        <v>11</v>
      </c>
      <c r="L84">
        <v>0.33</v>
      </c>
      <c r="M84">
        <v>0</v>
      </c>
      <c r="N84">
        <v>586307.22</v>
      </c>
      <c r="O84">
        <v>73927.850000000006</v>
      </c>
      <c r="P84">
        <f t="shared" si="9"/>
        <v>0</v>
      </c>
      <c r="Q84">
        <f t="shared" si="10"/>
        <v>1</v>
      </c>
      <c r="R84">
        <f t="shared" si="11"/>
        <v>0</v>
      </c>
      <c r="S84">
        <f t="shared" si="12"/>
        <v>0</v>
      </c>
      <c r="T84">
        <f t="shared" si="13"/>
        <v>0</v>
      </c>
      <c r="U84">
        <f t="shared" si="14"/>
        <v>558920.68886316638</v>
      </c>
      <c r="V84">
        <f t="shared" si="15"/>
        <v>27386.531136833597</v>
      </c>
    </row>
    <row r="85" spans="1:22">
      <c r="A85" t="s">
        <v>34</v>
      </c>
      <c r="B85" s="3">
        <v>45748</v>
      </c>
      <c r="C85" t="s">
        <v>20</v>
      </c>
      <c r="D85" t="s">
        <v>28</v>
      </c>
      <c r="E85">
        <v>65312.49</v>
      </c>
      <c r="F85">
        <v>7189</v>
      </c>
      <c r="G85">
        <v>93.7</v>
      </c>
      <c r="H85">
        <v>4.5999999999999996</v>
      </c>
      <c r="I85">
        <f t="shared" si="8"/>
        <v>1</v>
      </c>
      <c r="J85">
        <v>0.05</v>
      </c>
      <c r="K85">
        <v>19</v>
      </c>
      <c r="L85">
        <v>7.16</v>
      </c>
      <c r="M85">
        <v>0</v>
      </c>
      <c r="N85">
        <v>773815.14</v>
      </c>
      <c r="O85">
        <v>133948.39000000001</v>
      </c>
      <c r="P85">
        <f t="shared" si="9"/>
        <v>1</v>
      </c>
      <c r="Q85">
        <f t="shared" si="10"/>
        <v>0</v>
      </c>
      <c r="R85">
        <f t="shared" si="11"/>
        <v>0</v>
      </c>
      <c r="S85">
        <f t="shared" si="12"/>
        <v>0</v>
      </c>
      <c r="T85">
        <f t="shared" si="13"/>
        <v>0</v>
      </c>
      <c r="U85">
        <f t="shared" si="14"/>
        <v>747516.64371157368</v>
      </c>
      <c r="V85">
        <f t="shared" si="15"/>
        <v>26298.496288426337</v>
      </c>
    </row>
    <row r="86" spans="1:22">
      <c r="A86" t="s">
        <v>49</v>
      </c>
      <c r="B86" s="3">
        <v>45658</v>
      </c>
      <c r="C86" t="s">
        <v>15</v>
      </c>
      <c r="D86" t="s">
        <v>28</v>
      </c>
      <c r="E86">
        <v>75265.02</v>
      </c>
      <c r="F86">
        <v>6975</v>
      </c>
      <c r="G86">
        <v>73.8</v>
      </c>
      <c r="H86">
        <v>3.8</v>
      </c>
      <c r="I86">
        <f t="shared" si="8"/>
        <v>1</v>
      </c>
      <c r="J86">
        <v>0.157</v>
      </c>
      <c r="K86">
        <v>20</v>
      </c>
      <c r="L86">
        <v>6.35</v>
      </c>
      <c r="M86">
        <v>1</v>
      </c>
      <c r="N86">
        <v>709478.39</v>
      </c>
      <c r="O86">
        <v>71294.27</v>
      </c>
      <c r="P86">
        <f t="shared" si="9"/>
        <v>0</v>
      </c>
      <c r="Q86">
        <f t="shared" si="10"/>
        <v>0</v>
      </c>
      <c r="R86">
        <f t="shared" si="11"/>
        <v>1</v>
      </c>
      <c r="S86">
        <f t="shared" si="12"/>
        <v>0</v>
      </c>
      <c r="T86">
        <f t="shared" si="13"/>
        <v>0</v>
      </c>
      <c r="U86">
        <f t="shared" si="14"/>
        <v>683276.26870563277</v>
      </c>
      <c r="V86">
        <f t="shared" si="15"/>
        <v>26202.121294367244</v>
      </c>
    </row>
    <row r="87" spans="1:22">
      <c r="A87" t="s">
        <v>99</v>
      </c>
      <c r="B87" s="3">
        <v>45748</v>
      </c>
      <c r="C87" t="s">
        <v>24</v>
      </c>
      <c r="D87" t="s">
        <v>18</v>
      </c>
      <c r="E87">
        <v>86026.58</v>
      </c>
      <c r="F87">
        <v>7479</v>
      </c>
      <c r="G87">
        <v>89</v>
      </c>
      <c r="H87" s="6">
        <v>3.92</v>
      </c>
      <c r="I87">
        <f t="shared" si="8"/>
        <v>0</v>
      </c>
      <c r="J87">
        <v>0.14199999999999999</v>
      </c>
      <c r="K87">
        <v>20</v>
      </c>
      <c r="L87">
        <v>0.9</v>
      </c>
      <c r="M87">
        <v>0</v>
      </c>
      <c r="N87">
        <v>771129.07</v>
      </c>
      <c r="O87">
        <v>116851.13</v>
      </c>
      <c r="P87">
        <f t="shared" si="9"/>
        <v>0</v>
      </c>
      <c r="Q87">
        <f t="shared" si="10"/>
        <v>1</v>
      </c>
      <c r="R87">
        <f t="shared" si="11"/>
        <v>0</v>
      </c>
      <c r="S87">
        <f t="shared" si="12"/>
        <v>0</v>
      </c>
      <c r="T87">
        <f t="shared" si="13"/>
        <v>1</v>
      </c>
      <c r="U87">
        <f t="shared" si="14"/>
        <v>745243.25333951646</v>
      </c>
      <c r="V87">
        <f t="shared" si="15"/>
        <v>25885.816660483484</v>
      </c>
    </row>
    <row r="88" spans="1:22">
      <c r="A88" t="s">
        <v>100</v>
      </c>
      <c r="B88" s="3">
        <v>45658</v>
      </c>
      <c r="C88" t="s">
        <v>20</v>
      </c>
      <c r="D88" t="s">
        <v>16</v>
      </c>
      <c r="E88">
        <v>78967.520000000004</v>
      </c>
      <c r="F88">
        <v>6164</v>
      </c>
      <c r="G88">
        <v>85.5</v>
      </c>
      <c r="H88">
        <v>3.4</v>
      </c>
      <c r="I88">
        <f t="shared" si="8"/>
        <v>0</v>
      </c>
      <c r="J88">
        <v>2.1000000000000001E-2</v>
      </c>
      <c r="K88">
        <v>16</v>
      </c>
      <c r="L88">
        <v>0.2</v>
      </c>
      <c r="M88">
        <v>0</v>
      </c>
      <c r="N88">
        <v>702052.47</v>
      </c>
      <c r="O88">
        <v>121732.51</v>
      </c>
      <c r="P88">
        <f t="shared" si="9"/>
        <v>1</v>
      </c>
      <c r="Q88">
        <f t="shared" si="10"/>
        <v>0</v>
      </c>
      <c r="R88">
        <f t="shared" si="11"/>
        <v>0</v>
      </c>
      <c r="S88">
        <f t="shared" si="12"/>
        <v>0</v>
      </c>
      <c r="T88">
        <f t="shared" si="13"/>
        <v>0</v>
      </c>
      <c r="U88">
        <f t="shared" si="14"/>
        <v>676455.81628905027</v>
      </c>
      <c r="V88">
        <f t="shared" si="15"/>
        <v>25596.6537109497</v>
      </c>
    </row>
    <row r="89" spans="1:22">
      <c r="A89" t="s">
        <v>57</v>
      </c>
      <c r="B89" s="3">
        <v>45689</v>
      </c>
      <c r="C89" t="s">
        <v>27</v>
      </c>
      <c r="D89" t="s">
        <v>18</v>
      </c>
      <c r="E89">
        <v>45706.49</v>
      </c>
      <c r="F89">
        <v>6704</v>
      </c>
      <c r="G89">
        <v>94.2</v>
      </c>
      <c r="H89">
        <v>4.2</v>
      </c>
      <c r="I89">
        <f t="shared" si="8"/>
        <v>0</v>
      </c>
      <c r="J89">
        <v>3.7999999999999999E-2</v>
      </c>
      <c r="K89">
        <v>15</v>
      </c>
      <c r="L89">
        <v>2.92</v>
      </c>
      <c r="M89">
        <v>0</v>
      </c>
      <c r="N89">
        <v>715097.57</v>
      </c>
      <c r="O89">
        <v>151875.85999999999</v>
      </c>
      <c r="P89">
        <f t="shared" si="9"/>
        <v>0</v>
      </c>
      <c r="Q89">
        <f t="shared" si="10"/>
        <v>0</v>
      </c>
      <c r="R89">
        <f t="shared" si="11"/>
        <v>0</v>
      </c>
      <c r="S89">
        <f t="shared" si="12"/>
        <v>0</v>
      </c>
      <c r="T89">
        <f t="shared" si="13"/>
        <v>1</v>
      </c>
      <c r="U89">
        <f t="shared" si="14"/>
        <v>689989.65012680169</v>
      </c>
      <c r="V89">
        <f t="shared" si="15"/>
        <v>25107.919873198261</v>
      </c>
    </row>
    <row r="90" spans="1:22">
      <c r="A90" t="s">
        <v>79</v>
      </c>
      <c r="B90" s="3">
        <v>45748</v>
      </c>
      <c r="C90" t="s">
        <v>15</v>
      </c>
      <c r="D90" t="s">
        <v>18</v>
      </c>
      <c r="E90">
        <v>25818.080000000002</v>
      </c>
      <c r="F90">
        <v>5457</v>
      </c>
      <c r="G90">
        <v>95.4</v>
      </c>
      <c r="H90">
        <v>3.7</v>
      </c>
      <c r="I90">
        <f t="shared" si="8"/>
        <v>0</v>
      </c>
      <c r="J90">
        <v>0</v>
      </c>
      <c r="K90">
        <v>11</v>
      </c>
      <c r="L90" s="6">
        <v>4.5599999999999996</v>
      </c>
      <c r="M90">
        <v>0</v>
      </c>
      <c r="N90">
        <v>647512.85</v>
      </c>
      <c r="O90">
        <v>153835.57</v>
      </c>
      <c r="P90">
        <f t="shared" si="9"/>
        <v>0</v>
      </c>
      <c r="Q90">
        <f t="shared" si="10"/>
        <v>0</v>
      </c>
      <c r="R90">
        <f t="shared" si="11"/>
        <v>1</v>
      </c>
      <c r="S90">
        <f t="shared" si="12"/>
        <v>0</v>
      </c>
      <c r="T90">
        <f t="shared" si="13"/>
        <v>1</v>
      </c>
      <c r="U90">
        <f t="shared" si="14"/>
        <v>622769.73709002696</v>
      </c>
      <c r="V90">
        <f t="shared" si="15"/>
        <v>24743.112909973017</v>
      </c>
    </row>
    <row r="91" spans="1:22">
      <c r="A91" t="s">
        <v>78</v>
      </c>
      <c r="B91" s="3">
        <v>45658</v>
      </c>
      <c r="C91" t="s">
        <v>15</v>
      </c>
      <c r="D91" t="s">
        <v>28</v>
      </c>
      <c r="E91">
        <v>68212.289999999994</v>
      </c>
      <c r="F91">
        <v>4713</v>
      </c>
      <c r="G91">
        <v>82.6</v>
      </c>
      <c r="H91">
        <v>3</v>
      </c>
      <c r="I91">
        <f t="shared" si="8"/>
        <v>1</v>
      </c>
      <c r="J91">
        <v>0.19800000000000001</v>
      </c>
      <c r="K91">
        <v>15</v>
      </c>
      <c r="L91">
        <v>4.07</v>
      </c>
      <c r="M91">
        <v>1</v>
      </c>
      <c r="N91">
        <v>641564.6</v>
      </c>
      <c r="O91">
        <v>90468.96</v>
      </c>
      <c r="P91">
        <f t="shared" si="9"/>
        <v>0</v>
      </c>
      <c r="Q91">
        <f t="shared" si="10"/>
        <v>0</v>
      </c>
      <c r="R91">
        <f t="shared" si="11"/>
        <v>1</v>
      </c>
      <c r="S91">
        <f t="shared" si="12"/>
        <v>0</v>
      </c>
      <c r="T91">
        <f t="shared" si="13"/>
        <v>0</v>
      </c>
      <c r="U91">
        <f t="shared" si="14"/>
        <v>617027.92005689617</v>
      </c>
      <c r="V91">
        <f t="shared" si="15"/>
        <v>24536.679943103809</v>
      </c>
    </row>
    <row r="92" spans="1:22">
      <c r="A92" t="s">
        <v>57</v>
      </c>
      <c r="B92" s="3">
        <v>45748</v>
      </c>
      <c r="C92" t="s">
        <v>27</v>
      </c>
      <c r="D92" t="s">
        <v>18</v>
      </c>
      <c r="E92">
        <v>50198.12</v>
      </c>
      <c r="F92">
        <v>6089</v>
      </c>
      <c r="G92">
        <v>94</v>
      </c>
      <c r="H92">
        <v>3.9</v>
      </c>
      <c r="I92">
        <f t="shared" si="8"/>
        <v>0</v>
      </c>
      <c r="J92">
        <v>0.182</v>
      </c>
      <c r="K92">
        <v>19</v>
      </c>
      <c r="L92">
        <v>9.6999999999999993</v>
      </c>
      <c r="M92">
        <v>0</v>
      </c>
      <c r="N92">
        <v>695098.51</v>
      </c>
      <c r="O92">
        <v>108192.75</v>
      </c>
      <c r="P92">
        <f t="shared" si="9"/>
        <v>0</v>
      </c>
      <c r="Q92">
        <f t="shared" si="10"/>
        <v>0</v>
      </c>
      <c r="R92">
        <f t="shared" si="11"/>
        <v>0</v>
      </c>
      <c r="S92">
        <f t="shared" si="12"/>
        <v>0</v>
      </c>
      <c r="T92">
        <f t="shared" si="13"/>
        <v>1</v>
      </c>
      <c r="U92">
        <f t="shared" si="14"/>
        <v>670841.38857614237</v>
      </c>
      <c r="V92">
        <f t="shared" si="15"/>
        <v>24257.121423857636</v>
      </c>
    </row>
    <row r="93" spans="1:22">
      <c r="A93" t="s">
        <v>95</v>
      </c>
      <c r="B93" s="3">
        <v>45748</v>
      </c>
      <c r="C93" t="s">
        <v>27</v>
      </c>
      <c r="D93" t="s">
        <v>18</v>
      </c>
      <c r="E93">
        <v>27398.28</v>
      </c>
      <c r="F93">
        <v>1723</v>
      </c>
      <c r="G93">
        <v>81</v>
      </c>
      <c r="H93">
        <v>4.5999999999999996</v>
      </c>
      <c r="I93">
        <f t="shared" si="8"/>
        <v>0</v>
      </c>
      <c r="J93">
        <v>0.17100000000000001</v>
      </c>
      <c r="K93">
        <v>9</v>
      </c>
      <c r="L93">
        <v>0.74</v>
      </c>
      <c r="M93">
        <v>0</v>
      </c>
      <c r="N93">
        <v>487738.26</v>
      </c>
      <c r="O93">
        <v>96435.6</v>
      </c>
      <c r="P93">
        <f t="shared" si="9"/>
        <v>0</v>
      </c>
      <c r="Q93">
        <f t="shared" si="10"/>
        <v>0</v>
      </c>
      <c r="R93">
        <f t="shared" si="11"/>
        <v>0</v>
      </c>
      <c r="S93">
        <f t="shared" si="12"/>
        <v>0</v>
      </c>
      <c r="T93">
        <f t="shared" si="13"/>
        <v>1</v>
      </c>
      <c r="U93">
        <f t="shared" si="14"/>
        <v>464307.33239246439</v>
      </c>
      <c r="V93">
        <f t="shared" si="15"/>
        <v>23430.927607535617</v>
      </c>
    </row>
    <row r="94" spans="1:22">
      <c r="A94" t="s">
        <v>88</v>
      </c>
      <c r="B94" s="3">
        <v>45717</v>
      </c>
      <c r="C94" t="s">
        <v>15</v>
      </c>
      <c r="D94" t="s">
        <v>18</v>
      </c>
      <c r="E94">
        <v>56602.39</v>
      </c>
      <c r="F94">
        <v>7969</v>
      </c>
      <c r="G94">
        <v>88.3</v>
      </c>
      <c r="H94">
        <v>3.7</v>
      </c>
      <c r="I94">
        <f t="shared" si="8"/>
        <v>0</v>
      </c>
      <c r="J94">
        <v>0.17</v>
      </c>
      <c r="K94">
        <v>21</v>
      </c>
      <c r="L94">
        <v>2.25</v>
      </c>
      <c r="M94">
        <v>0</v>
      </c>
      <c r="N94">
        <v>745580.51</v>
      </c>
      <c r="O94">
        <v>116273.68</v>
      </c>
      <c r="P94">
        <f t="shared" si="9"/>
        <v>0</v>
      </c>
      <c r="Q94">
        <f t="shared" si="10"/>
        <v>0</v>
      </c>
      <c r="R94">
        <f t="shared" si="11"/>
        <v>1</v>
      </c>
      <c r="S94">
        <f t="shared" si="12"/>
        <v>0</v>
      </c>
      <c r="T94">
        <f t="shared" si="13"/>
        <v>1</v>
      </c>
      <c r="U94">
        <f t="shared" si="14"/>
        <v>722438.01385166484</v>
      </c>
      <c r="V94">
        <f t="shared" si="15"/>
        <v>23142.496148335165</v>
      </c>
    </row>
    <row r="95" spans="1:22">
      <c r="A95" t="s">
        <v>84</v>
      </c>
      <c r="B95" s="3">
        <v>45748</v>
      </c>
      <c r="C95" t="s">
        <v>20</v>
      </c>
      <c r="D95" t="s">
        <v>18</v>
      </c>
      <c r="E95">
        <v>97480.94</v>
      </c>
      <c r="F95">
        <v>6840</v>
      </c>
      <c r="G95">
        <v>79.2</v>
      </c>
      <c r="H95">
        <v>4</v>
      </c>
      <c r="I95">
        <f t="shared" si="8"/>
        <v>0</v>
      </c>
      <c r="J95">
        <v>8.6999999999999994E-2</v>
      </c>
      <c r="K95">
        <v>14</v>
      </c>
      <c r="L95">
        <v>1.1399999999999999</v>
      </c>
      <c r="M95">
        <v>0</v>
      </c>
      <c r="N95">
        <v>729440.45</v>
      </c>
      <c r="O95">
        <v>87614.29</v>
      </c>
      <c r="P95">
        <f t="shared" si="9"/>
        <v>1</v>
      </c>
      <c r="Q95">
        <f t="shared" si="10"/>
        <v>0</v>
      </c>
      <c r="R95">
        <f t="shared" si="11"/>
        <v>0</v>
      </c>
      <c r="S95">
        <f t="shared" si="12"/>
        <v>0</v>
      </c>
      <c r="T95">
        <f t="shared" si="13"/>
        <v>1</v>
      </c>
      <c r="U95">
        <f t="shared" si="14"/>
        <v>708324.05779866385</v>
      </c>
      <c r="V95">
        <f t="shared" si="15"/>
        <v>21116.392201336101</v>
      </c>
    </row>
    <row r="96" spans="1:22">
      <c r="A96" t="s">
        <v>94</v>
      </c>
      <c r="B96" s="3">
        <v>45658</v>
      </c>
      <c r="C96" t="s">
        <v>15</v>
      </c>
      <c r="D96" t="s">
        <v>16</v>
      </c>
      <c r="E96">
        <v>70012.41</v>
      </c>
      <c r="F96">
        <v>8484</v>
      </c>
      <c r="G96">
        <v>72.900000000000006</v>
      </c>
      <c r="H96">
        <v>3.7</v>
      </c>
      <c r="I96">
        <f t="shared" si="8"/>
        <v>0</v>
      </c>
      <c r="J96">
        <v>0.27300000000000002</v>
      </c>
      <c r="K96">
        <v>23</v>
      </c>
      <c r="L96">
        <v>3.34</v>
      </c>
      <c r="M96">
        <v>0</v>
      </c>
      <c r="N96">
        <v>729424.42</v>
      </c>
      <c r="O96">
        <v>75592.28</v>
      </c>
      <c r="P96">
        <f t="shared" si="9"/>
        <v>0</v>
      </c>
      <c r="Q96">
        <f t="shared" si="10"/>
        <v>0</v>
      </c>
      <c r="R96">
        <f t="shared" si="11"/>
        <v>1</v>
      </c>
      <c r="S96">
        <f t="shared" si="12"/>
        <v>0</v>
      </c>
      <c r="T96">
        <f t="shared" si="13"/>
        <v>0</v>
      </c>
      <c r="U96">
        <f t="shared" si="14"/>
        <v>708904.85934741271</v>
      </c>
      <c r="V96">
        <f t="shared" si="15"/>
        <v>20519.56065258733</v>
      </c>
    </row>
    <row r="97" spans="1:22">
      <c r="A97" t="s">
        <v>85</v>
      </c>
      <c r="B97" s="3">
        <v>45658</v>
      </c>
      <c r="C97" t="s">
        <v>24</v>
      </c>
      <c r="D97" t="s">
        <v>21</v>
      </c>
      <c r="E97">
        <v>81801.8</v>
      </c>
      <c r="F97">
        <v>6782</v>
      </c>
      <c r="G97">
        <v>99</v>
      </c>
      <c r="H97">
        <v>3.7</v>
      </c>
      <c r="I97">
        <f t="shared" si="8"/>
        <v>0</v>
      </c>
      <c r="J97">
        <v>0.05</v>
      </c>
      <c r="K97">
        <v>16</v>
      </c>
      <c r="L97">
        <v>9.5399999999999991</v>
      </c>
      <c r="M97">
        <v>0</v>
      </c>
      <c r="N97">
        <v>764949</v>
      </c>
      <c r="O97">
        <v>148322.43</v>
      </c>
      <c r="P97">
        <f t="shared" si="9"/>
        <v>0</v>
      </c>
      <c r="Q97">
        <f t="shared" si="10"/>
        <v>1</v>
      </c>
      <c r="R97">
        <f t="shared" si="11"/>
        <v>0</v>
      </c>
      <c r="S97">
        <f t="shared" si="12"/>
        <v>1</v>
      </c>
      <c r="T97">
        <f t="shared" si="13"/>
        <v>0</v>
      </c>
      <c r="U97">
        <f t="shared" si="14"/>
        <v>744827.86972299661</v>
      </c>
      <c r="V97">
        <f t="shared" si="15"/>
        <v>20121.130277003394</v>
      </c>
    </row>
    <row r="98" spans="1:22">
      <c r="A98" t="s">
        <v>83</v>
      </c>
      <c r="B98" s="3">
        <v>45658</v>
      </c>
      <c r="C98" t="s">
        <v>15</v>
      </c>
      <c r="D98" t="s">
        <v>18</v>
      </c>
      <c r="E98">
        <v>76942.2</v>
      </c>
      <c r="F98">
        <v>8934</v>
      </c>
      <c r="G98">
        <v>91</v>
      </c>
      <c r="H98">
        <v>3.2</v>
      </c>
      <c r="I98">
        <f t="shared" si="8"/>
        <v>0</v>
      </c>
      <c r="J98">
        <v>8.4000000000000005E-2</v>
      </c>
      <c r="K98">
        <v>20</v>
      </c>
      <c r="L98">
        <v>0.95</v>
      </c>
      <c r="M98">
        <v>0</v>
      </c>
      <c r="N98">
        <v>802001.68</v>
      </c>
      <c r="O98">
        <v>159715.82</v>
      </c>
      <c r="P98">
        <f t="shared" si="9"/>
        <v>0</v>
      </c>
      <c r="Q98">
        <f t="shared" si="10"/>
        <v>0</v>
      </c>
      <c r="R98">
        <f t="shared" si="11"/>
        <v>1</v>
      </c>
      <c r="S98">
        <f t="shared" si="12"/>
        <v>0</v>
      </c>
      <c r="T98">
        <f t="shared" si="13"/>
        <v>1</v>
      </c>
      <c r="U98">
        <f t="shared" si="14"/>
        <v>782115.94242313155</v>
      </c>
      <c r="V98">
        <f t="shared" si="15"/>
        <v>19885.737576868501</v>
      </c>
    </row>
    <row r="99" spans="1:22">
      <c r="A99" t="s">
        <v>64</v>
      </c>
      <c r="B99" s="3">
        <v>45717</v>
      </c>
      <c r="C99" t="s">
        <v>15</v>
      </c>
      <c r="D99" t="s">
        <v>16</v>
      </c>
      <c r="E99">
        <v>50825.08</v>
      </c>
      <c r="F99">
        <v>8949</v>
      </c>
      <c r="G99">
        <v>84.7</v>
      </c>
      <c r="H99">
        <v>4.9000000000000004</v>
      </c>
      <c r="I99">
        <f t="shared" si="8"/>
        <v>0</v>
      </c>
      <c r="J99">
        <v>0.157</v>
      </c>
      <c r="K99">
        <v>21</v>
      </c>
      <c r="L99">
        <v>7.73</v>
      </c>
      <c r="M99">
        <v>0</v>
      </c>
      <c r="N99">
        <v>769702.76</v>
      </c>
      <c r="O99">
        <v>158697</v>
      </c>
      <c r="P99">
        <f t="shared" si="9"/>
        <v>0</v>
      </c>
      <c r="Q99">
        <f t="shared" si="10"/>
        <v>0</v>
      </c>
      <c r="R99">
        <f t="shared" si="11"/>
        <v>1</v>
      </c>
      <c r="S99">
        <f t="shared" si="12"/>
        <v>0</v>
      </c>
      <c r="T99">
        <f t="shared" si="13"/>
        <v>0</v>
      </c>
      <c r="U99">
        <f t="shared" si="14"/>
        <v>750199.68634963594</v>
      </c>
      <c r="V99">
        <f t="shared" si="15"/>
        <v>19503.073650364066</v>
      </c>
    </row>
    <row r="100" spans="1:22">
      <c r="A100" t="s">
        <v>56</v>
      </c>
      <c r="B100" s="3">
        <v>45748</v>
      </c>
      <c r="C100" t="s">
        <v>24</v>
      </c>
      <c r="D100" t="s">
        <v>16</v>
      </c>
      <c r="E100">
        <v>44211.95</v>
      </c>
      <c r="F100">
        <v>5465</v>
      </c>
      <c r="G100">
        <v>90</v>
      </c>
      <c r="H100">
        <v>3.6</v>
      </c>
      <c r="I100">
        <f t="shared" si="8"/>
        <v>0</v>
      </c>
      <c r="J100">
        <v>0.187</v>
      </c>
      <c r="K100">
        <v>12</v>
      </c>
      <c r="L100">
        <v>2.89</v>
      </c>
      <c r="M100">
        <v>0</v>
      </c>
      <c r="N100">
        <v>646559.71</v>
      </c>
      <c r="O100">
        <v>97981.75</v>
      </c>
      <c r="P100">
        <f t="shared" si="9"/>
        <v>0</v>
      </c>
      <c r="Q100">
        <f t="shared" si="10"/>
        <v>1</v>
      </c>
      <c r="R100">
        <f t="shared" si="11"/>
        <v>0</v>
      </c>
      <c r="S100">
        <f t="shared" si="12"/>
        <v>0</v>
      </c>
      <c r="T100">
        <f t="shared" si="13"/>
        <v>0</v>
      </c>
      <c r="U100">
        <f t="shared" si="14"/>
        <v>627406.18564122473</v>
      </c>
      <c r="V100">
        <f t="shared" si="15"/>
        <v>19153.524358775234</v>
      </c>
    </row>
    <row r="101" spans="1:22">
      <c r="A101" t="s">
        <v>90</v>
      </c>
      <c r="B101" s="3">
        <v>45658</v>
      </c>
      <c r="C101" t="s">
        <v>27</v>
      </c>
      <c r="D101" t="s">
        <v>18</v>
      </c>
      <c r="E101">
        <v>50532.17</v>
      </c>
      <c r="F101">
        <v>5689</v>
      </c>
      <c r="G101">
        <v>85.6</v>
      </c>
      <c r="H101">
        <v>3.3</v>
      </c>
      <c r="I101">
        <f t="shared" si="8"/>
        <v>0</v>
      </c>
      <c r="J101">
        <v>5.1999999999999998E-2</v>
      </c>
      <c r="K101">
        <v>17</v>
      </c>
      <c r="L101">
        <v>6.23</v>
      </c>
      <c r="M101">
        <v>0</v>
      </c>
      <c r="N101">
        <v>645039.97</v>
      </c>
      <c r="O101">
        <v>83093.33</v>
      </c>
      <c r="P101">
        <f t="shared" si="9"/>
        <v>0</v>
      </c>
      <c r="Q101">
        <f t="shared" si="10"/>
        <v>0</v>
      </c>
      <c r="R101">
        <f t="shared" si="11"/>
        <v>0</v>
      </c>
      <c r="S101">
        <f t="shared" si="12"/>
        <v>0</v>
      </c>
      <c r="T101">
        <f t="shared" si="13"/>
        <v>1</v>
      </c>
      <c r="U101">
        <f t="shared" si="14"/>
        <v>625958.27393396979</v>
      </c>
      <c r="V101">
        <f t="shared" si="15"/>
        <v>19081.696066030185</v>
      </c>
    </row>
    <row r="102" spans="1:22">
      <c r="A102" t="s">
        <v>100</v>
      </c>
      <c r="B102" s="3">
        <v>45748</v>
      </c>
      <c r="C102" t="s">
        <v>20</v>
      </c>
      <c r="D102" t="s">
        <v>16</v>
      </c>
      <c r="E102">
        <v>66456.28</v>
      </c>
      <c r="F102">
        <v>9967</v>
      </c>
      <c r="G102">
        <v>94.7</v>
      </c>
      <c r="H102">
        <v>4.2</v>
      </c>
      <c r="I102">
        <f t="shared" si="8"/>
        <v>0</v>
      </c>
      <c r="J102">
        <v>0.108</v>
      </c>
      <c r="K102">
        <v>20</v>
      </c>
      <c r="L102">
        <v>4.4800000000000004</v>
      </c>
      <c r="M102">
        <v>0</v>
      </c>
      <c r="N102">
        <v>844710.67</v>
      </c>
      <c r="O102">
        <v>137140.18</v>
      </c>
      <c r="P102">
        <f t="shared" si="9"/>
        <v>1</v>
      </c>
      <c r="Q102">
        <f t="shared" si="10"/>
        <v>0</v>
      </c>
      <c r="R102">
        <f t="shared" si="11"/>
        <v>0</v>
      </c>
      <c r="S102">
        <f t="shared" si="12"/>
        <v>0</v>
      </c>
      <c r="T102">
        <f t="shared" si="13"/>
        <v>0</v>
      </c>
      <c r="U102">
        <f t="shared" si="14"/>
        <v>826185.33437121043</v>
      </c>
      <c r="V102">
        <f t="shared" si="15"/>
        <v>18525.335628789617</v>
      </c>
    </row>
    <row r="103" spans="1:22">
      <c r="A103" t="s">
        <v>54</v>
      </c>
      <c r="B103" s="3">
        <v>45658</v>
      </c>
      <c r="C103" t="s">
        <v>15</v>
      </c>
      <c r="D103" t="s">
        <v>18</v>
      </c>
      <c r="E103">
        <v>66250.53</v>
      </c>
      <c r="F103">
        <v>10618</v>
      </c>
      <c r="G103">
        <v>88.3</v>
      </c>
      <c r="H103">
        <v>4.4000000000000004</v>
      </c>
      <c r="I103">
        <f t="shared" si="8"/>
        <v>0</v>
      </c>
      <c r="J103">
        <v>0.14199999999999999</v>
      </c>
      <c r="K103">
        <v>27</v>
      </c>
      <c r="L103">
        <v>1.1000000000000001</v>
      </c>
      <c r="M103">
        <v>1</v>
      </c>
      <c r="N103">
        <v>849018.3</v>
      </c>
      <c r="O103">
        <v>149035.13</v>
      </c>
      <c r="P103">
        <f t="shared" si="9"/>
        <v>0</v>
      </c>
      <c r="Q103">
        <f t="shared" si="10"/>
        <v>0</v>
      </c>
      <c r="R103">
        <f t="shared" si="11"/>
        <v>1</v>
      </c>
      <c r="S103">
        <f t="shared" si="12"/>
        <v>0</v>
      </c>
      <c r="T103">
        <f t="shared" si="13"/>
        <v>1</v>
      </c>
      <c r="U103">
        <f t="shared" si="14"/>
        <v>830527.57296278514</v>
      </c>
      <c r="V103">
        <f t="shared" si="15"/>
        <v>18490.727037214907</v>
      </c>
    </row>
    <row r="104" spans="1:22">
      <c r="A104" t="s">
        <v>68</v>
      </c>
      <c r="B104" s="3">
        <v>45689</v>
      </c>
      <c r="C104" t="s">
        <v>20</v>
      </c>
      <c r="D104" t="s">
        <v>18</v>
      </c>
      <c r="E104">
        <v>57147.88</v>
      </c>
      <c r="F104">
        <v>5252</v>
      </c>
      <c r="G104">
        <v>95.5</v>
      </c>
      <c r="H104">
        <v>4.4000000000000004</v>
      </c>
      <c r="I104">
        <f t="shared" si="8"/>
        <v>0</v>
      </c>
      <c r="J104">
        <v>0.161</v>
      </c>
      <c r="K104">
        <v>15</v>
      </c>
      <c r="L104">
        <v>8.51</v>
      </c>
      <c r="M104">
        <v>0</v>
      </c>
      <c r="N104">
        <v>678311.17</v>
      </c>
      <c r="O104">
        <v>132029.76000000001</v>
      </c>
      <c r="P104">
        <f t="shared" si="9"/>
        <v>1</v>
      </c>
      <c r="Q104">
        <f t="shared" si="10"/>
        <v>0</v>
      </c>
      <c r="R104">
        <f t="shared" si="11"/>
        <v>0</v>
      </c>
      <c r="S104">
        <f t="shared" si="12"/>
        <v>0</v>
      </c>
      <c r="T104">
        <f t="shared" si="13"/>
        <v>1</v>
      </c>
      <c r="U104">
        <f t="shared" si="14"/>
        <v>660627.07464520959</v>
      </c>
      <c r="V104">
        <f t="shared" si="15"/>
        <v>17684.09535479045</v>
      </c>
    </row>
    <row r="105" spans="1:22">
      <c r="A105" t="s">
        <v>44</v>
      </c>
      <c r="B105" s="3">
        <v>45717</v>
      </c>
      <c r="C105" t="s">
        <v>24</v>
      </c>
      <c r="D105" t="s">
        <v>28</v>
      </c>
      <c r="E105">
        <v>82116.19</v>
      </c>
      <c r="F105">
        <v>5988</v>
      </c>
      <c r="G105">
        <v>91.8</v>
      </c>
      <c r="H105">
        <v>4.7</v>
      </c>
      <c r="I105">
        <f t="shared" si="8"/>
        <v>1</v>
      </c>
      <c r="J105">
        <v>0.04</v>
      </c>
      <c r="K105">
        <v>17</v>
      </c>
      <c r="L105">
        <v>5.75</v>
      </c>
      <c r="M105">
        <v>0</v>
      </c>
      <c r="N105">
        <v>739852.58</v>
      </c>
      <c r="O105">
        <v>129386.43</v>
      </c>
      <c r="P105">
        <f t="shared" si="9"/>
        <v>0</v>
      </c>
      <c r="Q105">
        <f t="shared" si="10"/>
        <v>1</v>
      </c>
      <c r="R105">
        <f t="shared" si="11"/>
        <v>0</v>
      </c>
      <c r="S105">
        <f t="shared" si="12"/>
        <v>0</v>
      </c>
      <c r="T105">
        <f t="shared" si="13"/>
        <v>0</v>
      </c>
      <c r="U105">
        <f t="shared" si="14"/>
        <v>722212.47148185549</v>
      </c>
      <c r="V105">
        <f t="shared" si="15"/>
        <v>17640.108518144465</v>
      </c>
    </row>
    <row r="106" spans="1:22">
      <c r="A106" t="s">
        <v>47</v>
      </c>
      <c r="B106" s="3">
        <v>45717</v>
      </c>
      <c r="C106" t="s">
        <v>15</v>
      </c>
      <c r="D106" t="s">
        <v>28</v>
      </c>
      <c r="E106">
        <v>90084.4</v>
      </c>
      <c r="F106">
        <v>6832</v>
      </c>
      <c r="G106">
        <v>80.5</v>
      </c>
      <c r="H106">
        <v>4.4000000000000004</v>
      </c>
      <c r="I106">
        <f t="shared" si="8"/>
        <v>1</v>
      </c>
      <c r="J106">
        <v>0.185</v>
      </c>
      <c r="K106">
        <v>14</v>
      </c>
      <c r="L106">
        <v>0.77</v>
      </c>
      <c r="M106">
        <v>1</v>
      </c>
      <c r="N106">
        <v>740102.64</v>
      </c>
      <c r="O106">
        <v>114299.07</v>
      </c>
      <c r="P106">
        <f t="shared" si="9"/>
        <v>0</v>
      </c>
      <c r="Q106">
        <f t="shared" si="10"/>
        <v>0</v>
      </c>
      <c r="R106">
        <f t="shared" si="11"/>
        <v>1</v>
      </c>
      <c r="S106">
        <f t="shared" si="12"/>
        <v>0</v>
      </c>
      <c r="T106">
        <f t="shared" si="13"/>
        <v>0</v>
      </c>
      <c r="U106">
        <f t="shared" si="14"/>
        <v>722656.38358896272</v>
      </c>
      <c r="V106">
        <f t="shared" si="15"/>
        <v>17446.256411037291</v>
      </c>
    </row>
    <row r="107" spans="1:22">
      <c r="A107" t="s">
        <v>76</v>
      </c>
      <c r="B107" s="3">
        <v>45748</v>
      </c>
      <c r="C107" t="s">
        <v>20</v>
      </c>
      <c r="D107" t="s">
        <v>21</v>
      </c>
      <c r="E107">
        <v>16451.849999999999</v>
      </c>
      <c r="F107">
        <v>4678</v>
      </c>
      <c r="G107">
        <v>95.9</v>
      </c>
      <c r="H107">
        <v>3.9</v>
      </c>
      <c r="I107">
        <f t="shared" si="8"/>
        <v>0</v>
      </c>
      <c r="J107">
        <v>0.13300000000000001</v>
      </c>
      <c r="K107">
        <v>11</v>
      </c>
      <c r="L107">
        <v>3.1</v>
      </c>
      <c r="M107">
        <v>0</v>
      </c>
      <c r="N107">
        <v>606278.30000000005</v>
      </c>
      <c r="O107">
        <v>102213.26</v>
      </c>
      <c r="P107">
        <f t="shared" si="9"/>
        <v>1</v>
      </c>
      <c r="Q107">
        <f t="shared" si="10"/>
        <v>0</v>
      </c>
      <c r="R107">
        <f t="shared" si="11"/>
        <v>0</v>
      </c>
      <c r="S107">
        <f t="shared" si="12"/>
        <v>1</v>
      </c>
      <c r="T107">
        <f t="shared" si="13"/>
        <v>0</v>
      </c>
      <c r="U107">
        <f t="shared" si="14"/>
        <v>588986.51281781588</v>
      </c>
      <c r="V107">
        <f t="shared" si="15"/>
        <v>17291.787182184169</v>
      </c>
    </row>
    <row r="108" spans="1:22">
      <c r="A108" t="s">
        <v>100</v>
      </c>
      <c r="B108" s="3">
        <v>45717</v>
      </c>
      <c r="C108" t="s">
        <v>20</v>
      </c>
      <c r="D108" t="s">
        <v>16</v>
      </c>
      <c r="E108">
        <v>62507.16</v>
      </c>
      <c r="F108">
        <v>6000</v>
      </c>
      <c r="G108">
        <v>98.2</v>
      </c>
      <c r="H108">
        <v>3.9</v>
      </c>
      <c r="I108">
        <f t="shared" si="8"/>
        <v>0</v>
      </c>
      <c r="J108">
        <v>9.0999999999999998E-2</v>
      </c>
      <c r="K108">
        <v>14</v>
      </c>
      <c r="L108">
        <v>4.38</v>
      </c>
      <c r="M108">
        <v>1</v>
      </c>
      <c r="N108">
        <v>712375.77</v>
      </c>
      <c r="O108">
        <v>104171.53</v>
      </c>
      <c r="P108">
        <f t="shared" si="9"/>
        <v>1</v>
      </c>
      <c r="Q108">
        <f t="shared" si="10"/>
        <v>0</v>
      </c>
      <c r="R108">
        <f t="shared" si="11"/>
        <v>0</v>
      </c>
      <c r="S108">
        <f t="shared" si="12"/>
        <v>0</v>
      </c>
      <c r="T108">
        <f t="shared" si="13"/>
        <v>0</v>
      </c>
      <c r="U108">
        <f t="shared" si="14"/>
        <v>695211.63567283086</v>
      </c>
      <c r="V108">
        <f t="shared" si="15"/>
        <v>17164.134327169158</v>
      </c>
    </row>
    <row r="109" spans="1:22">
      <c r="A109" t="s">
        <v>59</v>
      </c>
      <c r="B109" s="3">
        <v>45748</v>
      </c>
      <c r="C109" t="s">
        <v>24</v>
      </c>
      <c r="D109" t="s">
        <v>28</v>
      </c>
      <c r="E109">
        <v>71855.09</v>
      </c>
      <c r="F109">
        <v>5911</v>
      </c>
      <c r="G109">
        <v>94.3</v>
      </c>
      <c r="H109">
        <v>4.0999999999999996</v>
      </c>
      <c r="I109">
        <f t="shared" si="8"/>
        <v>1</v>
      </c>
      <c r="J109">
        <v>0.19700000000000001</v>
      </c>
      <c r="K109">
        <v>15</v>
      </c>
      <c r="L109">
        <v>3.55</v>
      </c>
      <c r="M109">
        <v>0</v>
      </c>
      <c r="N109">
        <v>725847.99</v>
      </c>
      <c r="O109">
        <v>122698.73</v>
      </c>
      <c r="P109">
        <f t="shared" si="9"/>
        <v>0</v>
      </c>
      <c r="Q109">
        <f t="shared" si="10"/>
        <v>1</v>
      </c>
      <c r="R109">
        <f t="shared" si="11"/>
        <v>0</v>
      </c>
      <c r="S109">
        <f t="shared" si="12"/>
        <v>0</v>
      </c>
      <c r="T109">
        <f t="shared" si="13"/>
        <v>0</v>
      </c>
      <c r="U109">
        <f t="shared" si="14"/>
        <v>708787.37970305991</v>
      </c>
      <c r="V109">
        <f t="shared" si="15"/>
        <v>17060.610296940082</v>
      </c>
    </row>
    <row r="110" spans="1:22">
      <c r="A110" t="s">
        <v>38</v>
      </c>
      <c r="B110" s="3">
        <v>45748</v>
      </c>
      <c r="C110" t="s">
        <v>27</v>
      </c>
      <c r="D110" t="s">
        <v>18</v>
      </c>
      <c r="E110">
        <v>42018.400000000001</v>
      </c>
      <c r="F110">
        <v>8296</v>
      </c>
      <c r="G110">
        <v>91.8</v>
      </c>
      <c r="H110">
        <v>3.4</v>
      </c>
      <c r="I110">
        <f t="shared" si="8"/>
        <v>0</v>
      </c>
      <c r="J110">
        <v>0.115</v>
      </c>
      <c r="K110">
        <v>17</v>
      </c>
      <c r="L110">
        <v>0.77</v>
      </c>
      <c r="M110">
        <v>0</v>
      </c>
      <c r="N110">
        <v>740496.65</v>
      </c>
      <c r="O110">
        <v>128020.9</v>
      </c>
      <c r="P110">
        <f t="shared" si="9"/>
        <v>0</v>
      </c>
      <c r="Q110">
        <f t="shared" si="10"/>
        <v>0</v>
      </c>
      <c r="R110">
        <f t="shared" si="11"/>
        <v>0</v>
      </c>
      <c r="S110">
        <f t="shared" si="12"/>
        <v>0</v>
      </c>
      <c r="T110">
        <f t="shared" si="13"/>
        <v>1</v>
      </c>
      <c r="U110">
        <f t="shared" si="14"/>
        <v>723676.57421572076</v>
      </c>
      <c r="V110">
        <f t="shared" si="15"/>
        <v>16820.075784279266</v>
      </c>
    </row>
    <row r="111" spans="1:22">
      <c r="A111" t="s">
        <v>22</v>
      </c>
      <c r="B111" s="3">
        <v>45748</v>
      </c>
      <c r="C111" t="s">
        <v>15</v>
      </c>
      <c r="D111" t="s">
        <v>16</v>
      </c>
      <c r="E111">
        <v>75305.710000000006</v>
      </c>
      <c r="F111">
        <v>10940</v>
      </c>
      <c r="G111">
        <v>76.5</v>
      </c>
      <c r="H111">
        <v>4.5</v>
      </c>
      <c r="I111">
        <f t="shared" si="8"/>
        <v>0</v>
      </c>
      <c r="J111">
        <v>6.0000000000000001E-3</v>
      </c>
      <c r="K111">
        <v>26</v>
      </c>
      <c r="L111">
        <v>1.32</v>
      </c>
      <c r="M111">
        <v>0</v>
      </c>
      <c r="N111">
        <v>834017.02</v>
      </c>
      <c r="O111">
        <v>114745.03</v>
      </c>
      <c r="P111">
        <f t="shared" si="9"/>
        <v>0</v>
      </c>
      <c r="Q111">
        <f t="shared" si="10"/>
        <v>0</v>
      </c>
      <c r="R111">
        <f t="shared" si="11"/>
        <v>1</v>
      </c>
      <c r="S111">
        <f t="shared" si="12"/>
        <v>0</v>
      </c>
      <c r="T111">
        <f t="shared" si="13"/>
        <v>0</v>
      </c>
      <c r="U111">
        <f t="shared" si="14"/>
        <v>817303.5804174199</v>
      </c>
      <c r="V111">
        <f t="shared" si="15"/>
        <v>16713.439582580118</v>
      </c>
    </row>
    <row r="112" spans="1:22">
      <c r="A112" t="s">
        <v>33</v>
      </c>
      <c r="B112" s="3">
        <v>45748</v>
      </c>
      <c r="C112" t="s">
        <v>27</v>
      </c>
      <c r="D112" t="s">
        <v>16</v>
      </c>
      <c r="E112">
        <v>42093.84</v>
      </c>
      <c r="F112">
        <v>4074</v>
      </c>
      <c r="G112">
        <v>88</v>
      </c>
      <c r="H112">
        <v>3.3</v>
      </c>
      <c r="I112">
        <f t="shared" si="8"/>
        <v>0</v>
      </c>
      <c r="J112">
        <v>0.155</v>
      </c>
      <c r="K112">
        <v>15</v>
      </c>
      <c r="L112">
        <v>9.64</v>
      </c>
      <c r="M112">
        <v>0</v>
      </c>
      <c r="N112">
        <v>585365.73</v>
      </c>
      <c r="O112">
        <v>81011.520000000004</v>
      </c>
      <c r="P112">
        <f t="shared" si="9"/>
        <v>0</v>
      </c>
      <c r="Q112">
        <f t="shared" si="10"/>
        <v>0</v>
      </c>
      <c r="R112">
        <f t="shared" si="11"/>
        <v>0</v>
      </c>
      <c r="S112">
        <f t="shared" si="12"/>
        <v>0</v>
      </c>
      <c r="T112">
        <f t="shared" si="13"/>
        <v>0</v>
      </c>
      <c r="U112">
        <f t="shared" si="14"/>
        <v>568770.36732205609</v>
      </c>
      <c r="V112">
        <f t="shared" si="15"/>
        <v>16595.362677943893</v>
      </c>
    </row>
    <row r="113" spans="1:22">
      <c r="A113" t="s">
        <v>84</v>
      </c>
      <c r="B113" s="3">
        <v>45658</v>
      </c>
      <c r="C113" t="s">
        <v>20</v>
      </c>
      <c r="D113" t="s">
        <v>18</v>
      </c>
      <c r="E113">
        <v>40923.67</v>
      </c>
      <c r="F113">
        <v>3875</v>
      </c>
      <c r="G113">
        <v>96.1</v>
      </c>
      <c r="H113">
        <v>3.8</v>
      </c>
      <c r="I113">
        <f t="shared" si="8"/>
        <v>0</v>
      </c>
      <c r="J113">
        <v>0.15</v>
      </c>
      <c r="K113">
        <v>10</v>
      </c>
      <c r="L113" s="6">
        <v>4.5599999999999996</v>
      </c>
      <c r="M113">
        <v>0</v>
      </c>
      <c r="N113">
        <v>606783.67000000004</v>
      </c>
      <c r="O113">
        <v>74515.87</v>
      </c>
      <c r="P113">
        <f t="shared" si="9"/>
        <v>1</v>
      </c>
      <c r="Q113">
        <f t="shared" si="10"/>
        <v>0</v>
      </c>
      <c r="R113">
        <f t="shared" si="11"/>
        <v>0</v>
      </c>
      <c r="S113">
        <f t="shared" si="12"/>
        <v>0</v>
      </c>
      <c r="T113">
        <f t="shared" si="13"/>
        <v>1</v>
      </c>
      <c r="U113">
        <f t="shared" si="14"/>
        <v>590503.89253618021</v>
      </c>
      <c r="V113">
        <f t="shared" si="15"/>
        <v>16279.777463819832</v>
      </c>
    </row>
    <row r="114" spans="1:22">
      <c r="A114" t="s">
        <v>25</v>
      </c>
      <c r="B114" s="3">
        <v>45717</v>
      </c>
      <c r="C114" t="s">
        <v>20</v>
      </c>
      <c r="D114" t="s">
        <v>16</v>
      </c>
      <c r="E114">
        <v>42267.37</v>
      </c>
      <c r="F114">
        <v>3364</v>
      </c>
      <c r="G114">
        <v>82</v>
      </c>
      <c r="H114">
        <v>4.5999999999999996</v>
      </c>
      <c r="I114">
        <f t="shared" si="8"/>
        <v>0</v>
      </c>
      <c r="J114">
        <v>0.16</v>
      </c>
      <c r="K114">
        <v>13</v>
      </c>
      <c r="L114">
        <v>1.61</v>
      </c>
      <c r="M114">
        <v>1</v>
      </c>
      <c r="N114">
        <v>555929.4</v>
      </c>
      <c r="O114">
        <v>115201.76</v>
      </c>
      <c r="P114">
        <f t="shared" si="9"/>
        <v>1</v>
      </c>
      <c r="Q114">
        <f t="shared" si="10"/>
        <v>0</v>
      </c>
      <c r="R114">
        <f t="shared" si="11"/>
        <v>0</v>
      </c>
      <c r="S114">
        <f t="shared" si="12"/>
        <v>0</v>
      </c>
      <c r="T114">
        <f t="shared" si="13"/>
        <v>0</v>
      </c>
      <c r="U114">
        <f t="shared" si="14"/>
        <v>540337.83362394222</v>
      </c>
      <c r="V114">
        <f t="shared" si="15"/>
        <v>15591.566376057803</v>
      </c>
    </row>
    <row r="115" spans="1:22">
      <c r="A115" t="s">
        <v>46</v>
      </c>
      <c r="B115" s="3">
        <v>45748</v>
      </c>
      <c r="C115" t="s">
        <v>27</v>
      </c>
      <c r="D115" t="s">
        <v>28</v>
      </c>
      <c r="E115">
        <v>55101.1</v>
      </c>
      <c r="F115">
        <v>5281</v>
      </c>
      <c r="G115">
        <v>91</v>
      </c>
      <c r="H115">
        <v>4.4000000000000004</v>
      </c>
      <c r="I115">
        <f t="shared" si="8"/>
        <v>1</v>
      </c>
      <c r="J115">
        <v>0.189</v>
      </c>
      <c r="K115">
        <v>11</v>
      </c>
      <c r="L115">
        <v>2.7</v>
      </c>
      <c r="M115">
        <v>0</v>
      </c>
      <c r="N115">
        <v>675177.68</v>
      </c>
      <c r="O115">
        <v>105628.68</v>
      </c>
      <c r="P115">
        <f t="shared" si="9"/>
        <v>0</v>
      </c>
      <c r="Q115">
        <f t="shared" si="10"/>
        <v>0</v>
      </c>
      <c r="R115">
        <f t="shared" si="11"/>
        <v>0</v>
      </c>
      <c r="S115">
        <f t="shared" si="12"/>
        <v>0</v>
      </c>
      <c r="T115">
        <f t="shared" si="13"/>
        <v>0</v>
      </c>
      <c r="U115">
        <f t="shared" si="14"/>
        <v>660754.79911417572</v>
      </c>
      <c r="V115">
        <f t="shared" si="15"/>
        <v>14422.880885824328</v>
      </c>
    </row>
    <row r="116" spans="1:22">
      <c r="A116" t="s">
        <v>86</v>
      </c>
      <c r="B116" s="3">
        <v>45689</v>
      </c>
      <c r="C116" t="s">
        <v>24</v>
      </c>
      <c r="D116" t="s">
        <v>28</v>
      </c>
      <c r="E116">
        <v>28670.43</v>
      </c>
      <c r="F116">
        <v>7574</v>
      </c>
      <c r="G116">
        <v>82.7</v>
      </c>
      <c r="H116">
        <v>4.5999999999999996</v>
      </c>
      <c r="I116">
        <f t="shared" si="8"/>
        <v>1</v>
      </c>
      <c r="J116">
        <v>0.114</v>
      </c>
      <c r="K116">
        <v>19</v>
      </c>
      <c r="L116">
        <v>2.74</v>
      </c>
      <c r="M116">
        <v>0</v>
      </c>
      <c r="N116">
        <v>697888.09</v>
      </c>
      <c r="O116">
        <v>116249.87</v>
      </c>
      <c r="P116">
        <f t="shared" si="9"/>
        <v>0</v>
      </c>
      <c r="Q116">
        <f t="shared" si="10"/>
        <v>1</v>
      </c>
      <c r="R116">
        <f t="shared" si="11"/>
        <v>0</v>
      </c>
      <c r="S116">
        <f t="shared" si="12"/>
        <v>0</v>
      </c>
      <c r="T116">
        <f t="shared" si="13"/>
        <v>0</v>
      </c>
      <c r="U116">
        <f t="shared" si="14"/>
        <v>683587.91064038628</v>
      </c>
      <c r="V116">
        <f t="shared" si="15"/>
        <v>14300.179359613685</v>
      </c>
    </row>
    <row r="117" spans="1:22">
      <c r="A117" t="s">
        <v>43</v>
      </c>
      <c r="B117" s="3">
        <v>45658</v>
      </c>
      <c r="C117" t="s">
        <v>27</v>
      </c>
      <c r="D117" t="s">
        <v>18</v>
      </c>
      <c r="E117">
        <v>55388.11</v>
      </c>
      <c r="F117">
        <v>3091</v>
      </c>
      <c r="G117">
        <v>85.4</v>
      </c>
      <c r="H117">
        <v>4.9000000000000004</v>
      </c>
      <c r="I117">
        <f t="shared" si="8"/>
        <v>0</v>
      </c>
      <c r="J117">
        <v>0.108</v>
      </c>
      <c r="K117">
        <v>7</v>
      </c>
      <c r="L117">
        <v>7.34</v>
      </c>
      <c r="M117">
        <v>0</v>
      </c>
      <c r="N117">
        <v>574436.29</v>
      </c>
      <c r="O117">
        <v>80271.990000000005</v>
      </c>
      <c r="P117">
        <f t="shared" si="9"/>
        <v>0</v>
      </c>
      <c r="Q117">
        <f t="shared" si="10"/>
        <v>0</v>
      </c>
      <c r="R117">
        <f t="shared" si="11"/>
        <v>0</v>
      </c>
      <c r="S117">
        <f t="shared" si="12"/>
        <v>0</v>
      </c>
      <c r="T117">
        <f t="shared" si="13"/>
        <v>1</v>
      </c>
      <c r="U117">
        <f t="shared" si="14"/>
        <v>560159.69194465852</v>
      </c>
      <c r="V117">
        <f t="shared" si="15"/>
        <v>14276.598055341514</v>
      </c>
    </row>
    <row r="118" spans="1:22">
      <c r="A118" t="s">
        <v>42</v>
      </c>
      <c r="B118" s="3">
        <v>45748</v>
      </c>
      <c r="C118" t="s">
        <v>27</v>
      </c>
      <c r="D118" t="s">
        <v>28</v>
      </c>
      <c r="E118">
        <v>36475.71</v>
      </c>
      <c r="F118">
        <v>3559</v>
      </c>
      <c r="G118">
        <v>83.6</v>
      </c>
      <c r="H118">
        <v>4.2</v>
      </c>
      <c r="I118">
        <f t="shared" si="8"/>
        <v>1</v>
      </c>
      <c r="J118">
        <v>0.03</v>
      </c>
      <c r="K118">
        <v>8</v>
      </c>
      <c r="L118">
        <v>1.41</v>
      </c>
      <c r="M118">
        <v>0</v>
      </c>
      <c r="N118">
        <v>569100.78</v>
      </c>
      <c r="O118">
        <v>104808.78</v>
      </c>
      <c r="P118">
        <f t="shared" si="9"/>
        <v>0</v>
      </c>
      <c r="Q118">
        <f t="shared" si="10"/>
        <v>0</v>
      </c>
      <c r="R118">
        <f t="shared" si="11"/>
        <v>0</v>
      </c>
      <c r="S118">
        <f t="shared" si="12"/>
        <v>0</v>
      </c>
      <c r="T118">
        <f t="shared" si="13"/>
        <v>0</v>
      </c>
      <c r="U118">
        <f t="shared" si="14"/>
        <v>555995.8664967597</v>
      </c>
      <c r="V118">
        <f t="shared" si="15"/>
        <v>13104.913503240328</v>
      </c>
    </row>
    <row r="119" spans="1:22">
      <c r="A119" t="s">
        <v>95</v>
      </c>
      <c r="B119" s="3">
        <v>45689</v>
      </c>
      <c r="C119" t="s">
        <v>27</v>
      </c>
      <c r="D119" t="s">
        <v>18</v>
      </c>
      <c r="E119">
        <v>40102.879999999997</v>
      </c>
      <c r="F119">
        <v>2358</v>
      </c>
      <c r="G119">
        <v>88.7</v>
      </c>
      <c r="H119">
        <v>4.2</v>
      </c>
      <c r="I119">
        <f t="shared" si="8"/>
        <v>0</v>
      </c>
      <c r="J119">
        <v>0.11899999999999999</v>
      </c>
      <c r="K119">
        <v>9</v>
      </c>
      <c r="L119">
        <v>1.6</v>
      </c>
      <c r="M119">
        <v>0</v>
      </c>
      <c r="N119">
        <v>533121.26</v>
      </c>
      <c r="O119">
        <v>55063.39</v>
      </c>
      <c r="P119">
        <f t="shared" si="9"/>
        <v>0</v>
      </c>
      <c r="Q119">
        <f t="shared" si="10"/>
        <v>0</v>
      </c>
      <c r="R119">
        <f t="shared" si="11"/>
        <v>0</v>
      </c>
      <c r="S119">
        <f t="shared" si="12"/>
        <v>0</v>
      </c>
      <c r="T119">
        <f t="shared" si="13"/>
        <v>1</v>
      </c>
      <c r="U119">
        <f t="shared" si="14"/>
        <v>520037.31901449454</v>
      </c>
      <c r="V119">
        <f t="shared" si="15"/>
        <v>13083.940985505469</v>
      </c>
    </row>
    <row r="120" spans="1:22">
      <c r="A120" t="s">
        <v>17</v>
      </c>
      <c r="B120" s="3">
        <v>45717</v>
      </c>
      <c r="C120" t="s">
        <v>15</v>
      </c>
      <c r="D120" t="s">
        <v>18</v>
      </c>
      <c r="E120">
        <v>46213.45</v>
      </c>
      <c r="F120">
        <v>10616</v>
      </c>
      <c r="G120">
        <v>85.2</v>
      </c>
      <c r="H120">
        <v>4.0999999999999996</v>
      </c>
      <c r="I120">
        <f t="shared" si="8"/>
        <v>0</v>
      </c>
      <c r="J120">
        <v>0.122</v>
      </c>
      <c r="K120">
        <v>22</v>
      </c>
      <c r="L120">
        <v>0.2</v>
      </c>
      <c r="M120">
        <v>1</v>
      </c>
      <c r="N120">
        <v>806615.54</v>
      </c>
      <c r="O120">
        <v>131364.62</v>
      </c>
      <c r="P120">
        <f t="shared" si="9"/>
        <v>0</v>
      </c>
      <c r="Q120">
        <f t="shared" si="10"/>
        <v>0</v>
      </c>
      <c r="R120">
        <f t="shared" si="11"/>
        <v>1</v>
      </c>
      <c r="S120">
        <f t="shared" si="12"/>
        <v>0</v>
      </c>
      <c r="T120">
        <f t="shared" si="13"/>
        <v>1</v>
      </c>
      <c r="U120">
        <f t="shared" si="14"/>
        <v>794136.14818975516</v>
      </c>
      <c r="V120">
        <f t="shared" si="15"/>
        <v>12479.391810244881</v>
      </c>
    </row>
    <row r="121" spans="1:22">
      <c r="A121" t="s">
        <v>78</v>
      </c>
      <c r="B121" s="3">
        <v>45748</v>
      </c>
      <c r="C121" t="s">
        <v>15</v>
      </c>
      <c r="D121" t="s">
        <v>28</v>
      </c>
      <c r="E121">
        <v>39341.449999999997</v>
      </c>
      <c r="F121">
        <v>1375</v>
      </c>
      <c r="G121">
        <v>95</v>
      </c>
      <c r="H121" s="6">
        <v>3.92</v>
      </c>
      <c r="I121">
        <f t="shared" si="8"/>
        <v>1</v>
      </c>
      <c r="J121">
        <v>9.2999999999999999E-2</v>
      </c>
      <c r="K121">
        <v>5</v>
      </c>
      <c r="L121">
        <v>5.32</v>
      </c>
      <c r="M121">
        <v>0</v>
      </c>
      <c r="N121">
        <v>529598.93999999994</v>
      </c>
      <c r="O121">
        <v>84334.33</v>
      </c>
      <c r="P121">
        <f t="shared" si="9"/>
        <v>0</v>
      </c>
      <c r="Q121">
        <f t="shared" si="10"/>
        <v>0</v>
      </c>
      <c r="R121">
        <f t="shared" si="11"/>
        <v>1</v>
      </c>
      <c r="S121">
        <f t="shared" si="12"/>
        <v>0</v>
      </c>
      <c r="T121">
        <f t="shared" si="13"/>
        <v>0</v>
      </c>
      <c r="U121">
        <f t="shared" si="14"/>
        <v>517469.49339474115</v>
      </c>
      <c r="V121">
        <f t="shared" si="15"/>
        <v>12129.446605258796</v>
      </c>
    </row>
    <row r="122" spans="1:22">
      <c r="A122" t="s">
        <v>48</v>
      </c>
      <c r="B122" s="3">
        <v>45748</v>
      </c>
      <c r="C122" t="s">
        <v>27</v>
      </c>
      <c r="D122" t="s">
        <v>18</v>
      </c>
      <c r="E122">
        <v>31042.03</v>
      </c>
      <c r="F122">
        <v>7107</v>
      </c>
      <c r="G122">
        <v>87</v>
      </c>
      <c r="H122">
        <v>3.2</v>
      </c>
      <c r="I122">
        <f t="shared" si="8"/>
        <v>0</v>
      </c>
      <c r="J122">
        <v>5.0999999999999997E-2</v>
      </c>
      <c r="K122">
        <v>15</v>
      </c>
      <c r="L122">
        <v>13.33</v>
      </c>
      <c r="M122">
        <v>0</v>
      </c>
      <c r="N122">
        <v>665594.93999999994</v>
      </c>
      <c r="O122">
        <v>127597.34</v>
      </c>
      <c r="P122">
        <f t="shared" si="9"/>
        <v>0</v>
      </c>
      <c r="Q122">
        <f t="shared" si="10"/>
        <v>0</v>
      </c>
      <c r="R122">
        <f t="shared" si="11"/>
        <v>0</v>
      </c>
      <c r="S122">
        <f t="shared" si="12"/>
        <v>0</v>
      </c>
      <c r="T122">
        <f t="shared" si="13"/>
        <v>1</v>
      </c>
      <c r="U122">
        <f t="shared" si="14"/>
        <v>653874.16322064563</v>
      </c>
      <c r="V122">
        <f t="shared" si="15"/>
        <v>11720.776779354317</v>
      </c>
    </row>
    <row r="123" spans="1:22">
      <c r="A123" t="s">
        <v>39</v>
      </c>
      <c r="B123" s="3">
        <v>45717</v>
      </c>
      <c r="C123" t="s">
        <v>15</v>
      </c>
      <c r="D123" t="s">
        <v>18</v>
      </c>
      <c r="E123">
        <v>60571.82</v>
      </c>
      <c r="F123">
        <v>3193</v>
      </c>
      <c r="G123">
        <v>99</v>
      </c>
      <c r="H123">
        <v>3.2</v>
      </c>
      <c r="I123">
        <f t="shared" si="8"/>
        <v>0</v>
      </c>
      <c r="J123">
        <v>0.19700000000000001</v>
      </c>
      <c r="K123">
        <v>7</v>
      </c>
      <c r="L123">
        <v>1.43</v>
      </c>
      <c r="M123">
        <v>0</v>
      </c>
      <c r="N123">
        <v>605023.87</v>
      </c>
      <c r="O123">
        <v>98545.81</v>
      </c>
      <c r="P123">
        <f t="shared" si="9"/>
        <v>0</v>
      </c>
      <c r="Q123">
        <f t="shared" si="10"/>
        <v>0</v>
      </c>
      <c r="R123">
        <f t="shared" si="11"/>
        <v>1</v>
      </c>
      <c r="S123">
        <f t="shared" si="12"/>
        <v>0</v>
      </c>
      <c r="T123">
        <f t="shared" si="13"/>
        <v>1</v>
      </c>
      <c r="U123">
        <f t="shared" si="14"/>
        <v>593376.04309726437</v>
      </c>
      <c r="V123">
        <f t="shared" si="15"/>
        <v>11647.826902735629</v>
      </c>
    </row>
    <row r="124" spans="1:22">
      <c r="A124" t="s">
        <v>74</v>
      </c>
      <c r="B124" s="3">
        <v>45658</v>
      </c>
      <c r="C124" t="s">
        <v>15</v>
      </c>
      <c r="D124" t="s">
        <v>18</v>
      </c>
      <c r="E124">
        <v>63457.19</v>
      </c>
      <c r="F124">
        <v>10125</v>
      </c>
      <c r="G124">
        <v>87</v>
      </c>
      <c r="H124">
        <v>3.7</v>
      </c>
      <c r="I124">
        <f t="shared" si="8"/>
        <v>0</v>
      </c>
      <c r="J124">
        <v>9.7000000000000003E-2</v>
      </c>
      <c r="K124">
        <v>24</v>
      </c>
      <c r="L124">
        <v>3.84</v>
      </c>
      <c r="M124">
        <v>1</v>
      </c>
      <c r="N124">
        <v>810446.53</v>
      </c>
      <c r="O124">
        <v>200575.34</v>
      </c>
      <c r="P124">
        <f t="shared" si="9"/>
        <v>0</v>
      </c>
      <c r="Q124">
        <f t="shared" si="10"/>
        <v>0</v>
      </c>
      <c r="R124">
        <f t="shared" si="11"/>
        <v>1</v>
      </c>
      <c r="S124">
        <f t="shared" si="12"/>
        <v>0</v>
      </c>
      <c r="T124">
        <f t="shared" si="13"/>
        <v>1</v>
      </c>
      <c r="U124">
        <f t="shared" si="14"/>
        <v>799338.10127597244</v>
      </c>
      <c r="V124">
        <f t="shared" si="15"/>
        <v>11108.428724027588</v>
      </c>
    </row>
    <row r="125" spans="1:22">
      <c r="A125" t="s">
        <v>87</v>
      </c>
      <c r="B125" s="3">
        <v>45658</v>
      </c>
      <c r="C125" t="s">
        <v>27</v>
      </c>
      <c r="D125" t="s">
        <v>18</v>
      </c>
      <c r="E125">
        <v>14519.37</v>
      </c>
      <c r="F125">
        <v>3047</v>
      </c>
      <c r="G125">
        <v>90.3</v>
      </c>
      <c r="H125">
        <v>4.2</v>
      </c>
      <c r="I125">
        <f t="shared" si="8"/>
        <v>0</v>
      </c>
      <c r="J125">
        <v>0.13500000000000001</v>
      </c>
      <c r="K125">
        <v>10</v>
      </c>
      <c r="L125">
        <v>6.62</v>
      </c>
      <c r="M125">
        <v>0</v>
      </c>
      <c r="N125">
        <v>528852.62</v>
      </c>
      <c r="O125">
        <v>68426.210000000006</v>
      </c>
      <c r="P125">
        <f t="shared" si="9"/>
        <v>0</v>
      </c>
      <c r="Q125">
        <f t="shared" si="10"/>
        <v>0</v>
      </c>
      <c r="R125">
        <f t="shared" si="11"/>
        <v>0</v>
      </c>
      <c r="S125">
        <f t="shared" si="12"/>
        <v>0</v>
      </c>
      <c r="T125">
        <f t="shared" si="13"/>
        <v>1</v>
      </c>
      <c r="U125">
        <f t="shared" si="14"/>
        <v>517785.50003681617</v>
      </c>
      <c r="V125">
        <f t="shared" si="15"/>
        <v>11067.119963183824</v>
      </c>
    </row>
    <row r="126" spans="1:22">
      <c r="A126" t="s">
        <v>36</v>
      </c>
      <c r="B126" s="3">
        <v>45658</v>
      </c>
      <c r="C126" t="s">
        <v>15</v>
      </c>
      <c r="D126" t="s">
        <v>21</v>
      </c>
      <c r="E126">
        <v>19365.060000000001</v>
      </c>
      <c r="F126">
        <v>2378</v>
      </c>
      <c r="G126">
        <v>94.8</v>
      </c>
      <c r="H126">
        <v>3.5</v>
      </c>
      <c r="I126">
        <f t="shared" si="8"/>
        <v>0</v>
      </c>
      <c r="J126">
        <v>0</v>
      </c>
      <c r="K126">
        <v>12</v>
      </c>
      <c r="L126">
        <v>0.2</v>
      </c>
      <c r="M126">
        <v>0</v>
      </c>
      <c r="N126">
        <v>518049.26</v>
      </c>
      <c r="O126">
        <v>108592.49</v>
      </c>
      <c r="P126">
        <f t="shared" si="9"/>
        <v>0</v>
      </c>
      <c r="Q126">
        <f t="shared" si="10"/>
        <v>0</v>
      </c>
      <c r="R126">
        <f t="shared" si="11"/>
        <v>1</v>
      </c>
      <c r="S126">
        <f t="shared" si="12"/>
        <v>1</v>
      </c>
      <c r="T126">
        <f t="shared" si="13"/>
        <v>0</v>
      </c>
      <c r="U126">
        <f t="shared" si="14"/>
        <v>507354.7807938382</v>
      </c>
      <c r="V126">
        <f t="shared" si="15"/>
        <v>10694.479206161806</v>
      </c>
    </row>
    <row r="127" spans="1:22">
      <c r="A127" t="s">
        <v>83</v>
      </c>
      <c r="B127" s="3">
        <v>45689</v>
      </c>
      <c r="C127" t="s">
        <v>15</v>
      </c>
      <c r="D127" t="s">
        <v>18</v>
      </c>
      <c r="E127">
        <v>48060.78</v>
      </c>
      <c r="F127">
        <v>8733</v>
      </c>
      <c r="G127">
        <v>89.9</v>
      </c>
      <c r="H127">
        <v>3.4</v>
      </c>
      <c r="I127">
        <f t="shared" si="8"/>
        <v>0</v>
      </c>
      <c r="J127">
        <v>0</v>
      </c>
      <c r="K127">
        <v>20</v>
      </c>
      <c r="L127">
        <v>0.8</v>
      </c>
      <c r="M127">
        <v>0</v>
      </c>
      <c r="N127">
        <v>750471.34</v>
      </c>
      <c r="O127">
        <v>133788.04</v>
      </c>
      <c r="P127">
        <f t="shared" si="9"/>
        <v>0</v>
      </c>
      <c r="Q127">
        <f t="shared" si="10"/>
        <v>0</v>
      </c>
      <c r="R127">
        <f t="shared" si="11"/>
        <v>1</v>
      </c>
      <c r="S127">
        <f t="shared" si="12"/>
        <v>0</v>
      </c>
      <c r="T127">
        <f t="shared" si="13"/>
        <v>1</v>
      </c>
      <c r="U127">
        <f t="shared" si="14"/>
        <v>739809.40473735193</v>
      </c>
      <c r="V127">
        <f t="shared" si="15"/>
        <v>10661.935262648039</v>
      </c>
    </row>
    <row r="128" spans="1:22">
      <c r="A128" t="s">
        <v>48</v>
      </c>
      <c r="B128" s="3">
        <v>45689</v>
      </c>
      <c r="C128" t="s">
        <v>27</v>
      </c>
      <c r="D128" t="s">
        <v>18</v>
      </c>
      <c r="E128">
        <v>74679.350000000006</v>
      </c>
      <c r="F128">
        <v>8739</v>
      </c>
      <c r="G128">
        <v>91.8</v>
      </c>
      <c r="H128">
        <v>3</v>
      </c>
      <c r="I128">
        <f t="shared" si="8"/>
        <v>0</v>
      </c>
      <c r="J128">
        <v>5.6000000000000001E-2</v>
      </c>
      <c r="K128">
        <v>21</v>
      </c>
      <c r="L128">
        <v>2.83</v>
      </c>
      <c r="M128">
        <v>0</v>
      </c>
      <c r="N128">
        <v>783797.89</v>
      </c>
      <c r="O128">
        <v>157620.70000000001</v>
      </c>
      <c r="P128">
        <f t="shared" si="9"/>
        <v>0</v>
      </c>
      <c r="Q128">
        <f t="shared" si="10"/>
        <v>0</v>
      </c>
      <c r="R128">
        <f t="shared" si="11"/>
        <v>0</v>
      </c>
      <c r="S128">
        <f t="shared" si="12"/>
        <v>0</v>
      </c>
      <c r="T128">
        <f t="shared" si="13"/>
        <v>1</v>
      </c>
      <c r="U128">
        <f t="shared" si="14"/>
        <v>773201.59621480852</v>
      </c>
      <c r="V128">
        <f t="shared" si="15"/>
        <v>10596.29378519149</v>
      </c>
    </row>
    <row r="129" spans="1:22">
      <c r="A129" t="s">
        <v>69</v>
      </c>
      <c r="B129" s="3">
        <v>45689</v>
      </c>
      <c r="C129" t="s">
        <v>15</v>
      </c>
      <c r="D129" t="s">
        <v>18</v>
      </c>
      <c r="E129">
        <v>55788.61</v>
      </c>
      <c r="F129">
        <v>2312</v>
      </c>
      <c r="G129">
        <v>91.3</v>
      </c>
      <c r="H129">
        <v>3.8</v>
      </c>
      <c r="I129">
        <f t="shared" si="8"/>
        <v>0</v>
      </c>
      <c r="J129">
        <v>5.8000000000000003E-2</v>
      </c>
      <c r="K129">
        <v>10</v>
      </c>
      <c r="L129">
        <v>1.99</v>
      </c>
      <c r="M129">
        <v>0</v>
      </c>
      <c r="N129">
        <v>550962.93000000005</v>
      </c>
      <c r="O129">
        <v>97144.58</v>
      </c>
      <c r="P129">
        <f t="shared" si="9"/>
        <v>0</v>
      </c>
      <c r="Q129">
        <f t="shared" si="10"/>
        <v>0</v>
      </c>
      <c r="R129">
        <f t="shared" si="11"/>
        <v>1</v>
      </c>
      <c r="S129">
        <f t="shared" si="12"/>
        <v>0</v>
      </c>
      <c r="T129">
        <f t="shared" si="13"/>
        <v>1</v>
      </c>
      <c r="U129">
        <f t="shared" si="14"/>
        <v>540831.82467360201</v>
      </c>
      <c r="V129">
        <f t="shared" si="15"/>
        <v>10131.105326398043</v>
      </c>
    </row>
    <row r="130" spans="1:22">
      <c r="A130" t="s">
        <v>34</v>
      </c>
      <c r="B130" s="3">
        <v>45717</v>
      </c>
      <c r="C130" t="s">
        <v>20</v>
      </c>
      <c r="D130" t="s">
        <v>28</v>
      </c>
      <c r="E130">
        <v>48287.85</v>
      </c>
      <c r="F130">
        <v>5150</v>
      </c>
      <c r="G130">
        <v>80.400000000000006</v>
      </c>
      <c r="H130">
        <v>4.5</v>
      </c>
      <c r="I130">
        <f t="shared" ref="I130:I193" si="16">IF(D130="Mall",1,0)</f>
        <v>1</v>
      </c>
      <c r="J130">
        <v>8.0000000000000002E-3</v>
      </c>
      <c r="K130">
        <v>12</v>
      </c>
      <c r="L130">
        <v>7.4</v>
      </c>
      <c r="M130">
        <v>0</v>
      </c>
      <c r="N130">
        <v>625672.86</v>
      </c>
      <c r="O130">
        <v>118020.12</v>
      </c>
      <c r="P130">
        <f t="shared" ref="P130:P193" si="17">IF(C130="North",1,0)</f>
        <v>1</v>
      </c>
      <c r="Q130">
        <f t="shared" ref="Q130:Q193" si="18">IF(C130="South",1,0)</f>
        <v>0</v>
      </c>
      <c r="R130">
        <f t="shared" ref="R130:R193" si="19">IF(C130="East",1,0)</f>
        <v>0</v>
      </c>
      <c r="S130">
        <f t="shared" ref="S130:S193" si="20">IF(D130="Airport",1,0)</f>
        <v>0</v>
      </c>
      <c r="T130">
        <f t="shared" ref="T130:T193" si="21">IF(D130="High Street",1,0)</f>
        <v>0</v>
      </c>
      <c r="U130">
        <f t="shared" ref="U130:U193" si="22">79514.81031
+(1.186491387*E130)
+(33.72856095*F130)
+(3039.885495*G130)
+(10421.66592*H130)
+(15257.56777*I130)</f>
        <v>617071.87553224794</v>
      </c>
      <c r="V130">
        <f t="shared" ref="V130:V193" si="23">N130-U130</f>
        <v>8600.984467752045</v>
      </c>
    </row>
    <row r="131" spans="1:22">
      <c r="A131" t="s">
        <v>77</v>
      </c>
      <c r="B131" s="3">
        <v>45658</v>
      </c>
      <c r="C131" t="s">
        <v>15</v>
      </c>
      <c r="D131" t="s">
        <v>18</v>
      </c>
      <c r="E131">
        <v>53367.73</v>
      </c>
      <c r="F131">
        <v>7291</v>
      </c>
      <c r="G131">
        <v>90.6</v>
      </c>
      <c r="H131">
        <v>3.8</v>
      </c>
      <c r="I131">
        <f t="shared" si="16"/>
        <v>0</v>
      </c>
      <c r="J131">
        <v>0.14599999999999999</v>
      </c>
      <c r="K131">
        <v>18</v>
      </c>
      <c r="L131">
        <v>6.34</v>
      </c>
      <c r="M131">
        <v>1</v>
      </c>
      <c r="N131">
        <v>712219.81</v>
      </c>
      <c r="O131">
        <v>85906.54</v>
      </c>
      <c r="P131">
        <f t="shared" si="17"/>
        <v>0</v>
      </c>
      <c r="Q131">
        <f t="shared" si="18"/>
        <v>0</v>
      </c>
      <c r="R131">
        <f t="shared" si="19"/>
        <v>1</v>
      </c>
      <c r="S131">
        <f t="shared" si="20"/>
        <v>0</v>
      </c>
      <c r="T131">
        <f t="shared" si="21"/>
        <v>1</v>
      </c>
      <c r="U131">
        <f t="shared" si="22"/>
        <v>703766.05652819143</v>
      </c>
      <c r="V131">
        <f t="shared" si="23"/>
        <v>8453.7534718086245</v>
      </c>
    </row>
    <row r="132" spans="1:22">
      <c r="A132" t="s">
        <v>80</v>
      </c>
      <c r="B132" s="3">
        <v>45717</v>
      </c>
      <c r="C132" t="s">
        <v>27</v>
      </c>
      <c r="D132" t="s">
        <v>16</v>
      </c>
      <c r="E132">
        <v>62582.71</v>
      </c>
      <c r="F132">
        <v>5479</v>
      </c>
      <c r="G132">
        <v>81.2</v>
      </c>
      <c r="H132">
        <v>4.5</v>
      </c>
      <c r="I132">
        <f t="shared" si="16"/>
        <v>0</v>
      </c>
      <c r="J132">
        <v>4.8000000000000001E-2</v>
      </c>
      <c r="K132">
        <v>16</v>
      </c>
      <c r="L132">
        <v>1.46</v>
      </c>
      <c r="M132">
        <v>0</v>
      </c>
      <c r="N132">
        <v>640666.53</v>
      </c>
      <c r="O132">
        <v>134919.16</v>
      </c>
      <c r="P132">
        <f t="shared" si="17"/>
        <v>0</v>
      </c>
      <c r="Q132">
        <f t="shared" si="18"/>
        <v>0</v>
      </c>
      <c r="R132">
        <f t="shared" si="19"/>
        <v>0</v>
      </c>
      <c r="S132">
        <f t="shared" si="20"/>
        <v>0</v>
      </c>
      <c r="T132">
        <f t="shared" si="21"/>
        <v>0</v>
      </c>
      <c r="U132">
        <f t="shared" si="22"/>
        <v>632303.64097916882</v>
      </c>
      <c r="V132">
        <f t="shared" si="23"/>
        <v>8362.8890208312077</v>
      </c>
    </row>
    <row r="133" spans="1:22">
      <c r="A133" t="s">
        <v>81</v>
      </c>
      <c r="B133" s="3">
        <v>45748</v>
      </c>
      <c r="C133" t="s">
        <v>27</v>
      </c>
      <c r="D133" t="s">
        <v>28</v>
      </c>
      <c r="E133">
        <v>26248.1</v>
      </c>
      <c r="F133">
        <v>9314</v>
      </c>
      <c r="G133">
        <v>83.7</v>
      </c>
      <c r="H133">
        <v>3.3</v>
      </c>
      <c r="I133">
        <f t="shared" si="16"/>
        <v>1</v>
      </c>
      <c r="J133">
        <v>0.186</v>
      </c>
      <c r="K133">
        <v>21</v>
      </c>
      <c r="L133">
        <v>4.62</v>
      </c>
      <c r="M133">
        <v>0</v>
      </c>
      <c r="N133">
        <v>737070.18</v>
      </c>
      <c r="O133">
        <v>117593.97</v>
      </c>
      <c r="P133">
        <f t="shared" si="17"/>
        <v>0</v>
      </c>
      <c r="Q133">
        <f t="shared" si="18"/>
        <v>0</v>
      </c>
      <c r="R133">
        <f t="shared" si="19"/>
        <v>0</v>
      </c>
      <c r="S133">
        <f t="shared" si="20"/>
        <v>0</v>
      </c>
      <c r="T133">
        <f t="shared" si="21"/>
        <v>0</v>
      </c>
      <c r="U133">
        <f t="shared" si="22"/>
        <v>728893.25281091465</v>
      </c>
      <c r="V133">
        <f t="shared" si="23"/>
        <v>8176.9271890853997</v>
      </c>
    </row>
    <row r="134" spans="1:22">
      <c r="A134" t="s">
        <v>68</v>
      </c>
      <c r="B134" s="3">
        <v>45748</v>
      </c>
      <c r="C134" t="s">
        <v>20</v>
      </c>
      <c r="D134" t="s">
        <v>18</v>
      </c>
      <c r="E134">
        <v>72784.800000000003</v>
      </c>
      <c r="F134">
        <v>7932</v>
      </c>
      <c r="G134">
        <v>74.900000000000006</v>
      </c>
      <c r="H134">
        <v>4.2</v>
      </c>
      <c r="I134">
        <f t="shared" si="16"/>
        <v>0</v>
      </c>
      <c r="J134">
        <v>9.4E-2</v>
      </c>
      <c r="K134">
        <v>20</v>
      </c>
      <c r="L134">
        <v>13.62</v>
      </c>
      <c r="M134">
        <v>0</v>
      </c>
      <c r="N134">
        <v>712546.38</v>
      </c>
      <c r="O134">
        <v>101480.04</v>
      </c>
      <c r="P134">
        <f t="shared" si="17"/>
        <v>1</v>
      </c>
      <c r="Q134">
        <f t="shared" si="18"/>
        <v>0</v>
      </c>
      <c r="R134">
        <f t="shared" si="19"/>
        <v>0</v>
      </c>
      <c r="S134">
        <f t="shared" si="20"/>
        <v>0</v>
      </c>
      <c r="T134">
        <f t="shared" si="21"/>
        <v>1</v>
      </c>
      <c r="U134">
        <f t="shared" si="22"/>
        <v>704866.71450941765</v>
      </c>
      <c r="V134">
        <f t="shared" si="23"/>
        <v>7679.6654905823525</v>
      </c>
    </row>
    <row r="135" spans="1:22">
      <c r="A135" t="s">
        <v>65</v>
      </c>
      <c r="B135" s="3">
        <v>45658</v>
      </c>
      <c r="C135" t="s">
        <v>15</v>
      </c>
      <c r="D135" t="s">
        <v>16</v>
      </c>
      <c r="E135">
        <v>65237.79</v>
      </c>
      <c r="F135">
        <v>8741</v>
      </c>
      <c r="G135">
        <v>94.4</v>
      </c>
      <c r="H135">
        <v>3.3</v>
      </c>
      <c r="I135">
        <f t="shared" si="16"/>
        <v>0</v>
      </c>
      <c r="J135">
        <v>0.157</v>
      </c>
      <c r="K135">
        <v>20</v>
      </c>
      <c r="L135">
        <v>6.43</v>
      </c>
      <c r="M135">
        <v>0</v>
      </c>
      <c r="N135">
        <v>780344.18</v>
      </c>
      <c r="O135">
        <v>118239.09</v>
      </c>
      <c r="P135">
        <f t="shared" si="17"/>
        <v>0</v>
      </c>
      <c r="Q135">
        <f t="shared" si="18"/>
        <v>0</v>
      </c>
      <c r="R135">
        <f t="shared" si="19"/>
        <v>1</v>
      </c>
      <c r="S135">
        <f t="shared" si="20"/>
        <v>0</v>
      </c>
      <c r="T135">
        <f t="shared" si="21"/>
        <v>0</v>
      </c>
      <c r="U135">
        <f t="shared" si="22"/>
        <v>773096.92577986477</v>
      </c>
      <c r="V135">
        <f t="shared" si="23"/>
        <v>7247.2542201352771</v>
      </c>
    </row>
    <row r="136" spans="1:22">
      <c r="A136" t="s">
        <v>60</v>
      </c>
      <c r="B136" s="3">
        <v>45689</v>
      </c>
      <c r="C136" t="s">
        <v>15</v>
      </c>
      <c r="D136" t="s">
        <v>18</v>
      </c>
      <c r="E136">
        <v>64374.75</v>
      </c>
      <c r="F136">
        <v>6740</v>
      </c>
      <c r="G136">
        <v>87</v>
      </c>
      <c r="H136">
        <v>4.2</v>
      </c>
      <c r="I136">
        <f t="shared" si="16"/>
        <v>0</v>
      </c>
      <c r="J136">
        <v>0.16900000000000001</v>
      </c>
      <c r="K136">
        <v>18</v>
      </c>
      <c r="L136">
        <v>2.09</v>
      </c>
      <c r="M136">
        <v>0</v>
      </c>
      <c r="N136">
        <v>698492.67</v>
      </c>
      <c r="O136">
        <v>117319.32</v>
      </c>
      <c r="P136">
        <f t="shared" si="17"/>
        <v>0</v>
      </c>
      <c r="Q136">
        <f t="shared" si="18"/>
        <v>0</v>
      </c>
      <c r="R136">
        <f t="shared" si="19"/>
        <v>1</v>
      </c>
      <c r="S136">
        <f t="shared" si="20"/>
        <v>0</v>
      </c>
      <c r="T136">
        <f t="shared" si="21"/>
        <v>1</v>
      </c>
      <c r="U136">
        <f t="shared" si="22"/>
        <v>691466.43245727813</v>
      </c>
      <c r="V136">
        <f t="shared" si="23"/>
        <v>7026.2375427219085</v>
      </c>
    </row>
    <row r="137" spans="1:22">
      <c r="A137" t="s">
        <v>96</v>
      </c>
      <c r="B137" s="3">
        <v>45658</v>
      </c>
      <c r="C137" t="s">
        <v>27</v>
      </c>
      <c r="D137" t="s">
        <v>18</v>
      </c>
      <c r="E137">
        <v>55599.56</v>
      </c>
      <c r="F137">
        <v>5896</v>
      </c>
      <c r="G137">
        <v>93.1</v>
      </c>
      <c r="H137">
        <v>3.3</v>
      </c>
      <c r="I137">
        <f t="shared" si="16"/>
        <v>0</v>
      </c>
      <c r="J137">
        <v>3.5999999999999997E-2</v>
      </c>
      <c r="K137">
        <v>12</v>
      </c>
      <c r="L137">
        <v>6.13</v>
      </c>
      <c r="M137">
        <v>0</v>
      </c>
      <c r="N137">
        <v>668459.37</v>
      </c>
      <c r="O137">
        <v>126435.42</v>
      </c>
      <c r="P137">
        <f t="shared" si="17"/>
        <v>0</v>
      </c>
      <c r="Q137">
        <f t="shared" si="18"/>
        <v>0</v>
      </c>
      <c r="R137">
        <f t="shared" si="19"/>
        <v>0</v>
      </c>
      <c r="S137">
        <f t="shared" si="20"/>
        <v>0</v>
      </c>
      <c r="T137">
        <f t="shared" si="21"/>
        <v>1</v>
      </c>
      <c r="U137">
        <f t="shared" si="22"/>
        <v>661751.64185268979</v>
      </c>
      <c r="V137">
        <f t="shared" si="23"/>
        <v>6707.7281473102048</v>
      </c>
    </row>
    <row r="138" spans="1:22">
      <c r="A138" t="s">
        <v>76</v>
      </c>
      <c r="B138" s="3">
        <v>45689</v>
      </c>
      <c r="C138" t="s">
        <v>20</v>
      </c>
      <c r="D138" t="s">
        <v>21</v>
      </c>
      <c r="E138">
        <v>33987.33</v>
      </c>
      <c r="F138">
        <v>5014</v>
      </c>
      <c r="G138">
        <v>94.3</v>
      </c>
      <c r="H138">
        <v>3.9</v>
      </c>
      <c r="I138">
        <f t="shared" si="16"/>
        <v>0</v>
      </c>
      <c r="J138">
        <v>0.246</v>
      </c>
      <c r="K138">
        <v>17</v>
      </c>
      <c r="L138">
        <v>10.34</v>
      </c>
      <c r="M138">
        <v>0</v>
      </c>
      <c r="N138">
        <v>622892.42000000004</v>
      </c>
      <c r="O138">
        <v>101032.52</v>
      </c>
      <c r="P138">
        <f t="shared" si="17"/>
        <v>1</v>
      </c>
      <c r="Q138">
        <f t="shared" si="18"/>
        <v>0</v>
      </c>
      <c r="R138">
        <f t="shared" si="19"/>
        <v>0</v>
      </c>
      <c r="S138">
        <f t="shared" si="20"/>
        <v>1</v>
      </c>
      <c r="T138">
        <f t="shared" si="21"/>
        <v>0</v>
      </c>
      <c r="U138">
        <f t="shared" si="22"/>
        <v>616261.18849192664</v>
      </c>
      <c r="V138">
        <f t="shared" si="23"/>
        <v>6631.231508073397</v>
      </c>
    </row>
    <row r="139" spans="1:22">
      <c r="A139" t="s">
        <v>26</v>
      </c>
      <c r="B139" s="3">
        <v>45748</v>
      </c>
      <c r="C139" t="s">
        <v>27</v>
      </c>
      <c r="D139" t="s">
        <v>28</v>
      </c>
      <c r="E139">
        <v>52715.1</v>
      </c>
      <c r="F139">
        <v>7223</v>
      </c>
      <c r="G139">
        <v>84.2</v>
      </c>
      <c r="H139">
        <v>3.7</v>
      </c>
      <c r="I139">
        <f t="shared" si="16"/>
        <v>1</v>
      </c>
      <c r="J139">
        <v>0.122</v>
      </c>
      <c r="K139">
        <v>16</v>
      </c>
      <c r="L139">
        <v>16.149999999999999</v>
      </c>
      <c r="M139">
        <v>0</v>
      </c>
      <c r="N139">
        <v>701641.97</v>
      </c>
      <c r="O139">
        <v>106111.86</v>
      </c>
      <c r="P139">
        <f t="shared" si="17"/>
        <v>0</v>
      </c>
      <c r="Q139">
        <f t="shared" si="18"/>
        <v>0</v>
      </c>
      <c r="R139">
        <f t="shared" si="19"/>
        <v>0</v>
      </c>
      <c r="S139">
        <f t="shared" si="20"/>
        <v>0</v>
      </c>
      <c r="T139">
        <f t="shared" si="21"/>
        <v>0</v>
      </c>
      <c r="U139">
        <f t="shared" si="22"/>
        <v>695458.30851969356</v>
      </c>
      <c r="V139">
        <f t="shared" si="23"/>
        <v>6183.6614803064149</v>
      </c>
    </row>
    <row r="140" spans="1:22">
      <c r="A140" t="s">
        <v>67</v>
      </c>
      <c r="B140" s="3">
        <v>45658</v>
      </c>
      <c r="C140" t="s">
        <v>27</v>
      </c>
      <c r="D140" t="s">
        <v>16</v>
      </c>
      <c r="E140">
        <v>68491.11</v>
      </c>
      <c r="F140">
        <v>11154</v>
      </c>
      <c r="G140">
        <v>89.4</v>
      </c>
      <c r="H140">
        <v>3.9</v>
      </c>
      <c r="I140">
        <f t="shared" si="16"/>
        <v>0</v>
      </c>
      <c r="J140">
        <v>1E-3</v>
      </c>
      <c r="K140">
        <v>24</v>
      </c>
      <c r="L140">
        <v>5.27</v>
      </c>
      <c r="M140">
        <v>1</v>
      </c>
      <c r="N140">
        <v>855341.28</v>
      </c>
      <c r="O140">
        <v>175823.8</v>
      </c>
      <c r="P140">
        <f t="shared" si="17"/>
        <v>0</v>
      </c>
      <c r="Q140">
        <f t="shared" si="18"/>
        <v>0</v>
      </c>
      <c r="R140">
        <f t="shared" si="19"/>
        <v>0</v>
      </c>
      <c r="S140">
        <f t="shared" si="20"/>
        <v>0</v>
      </c>
      <c r="T140">
        <f t="shared" si="21"/>
        <v>0</v>
      </c>
      <c r="U140">
        <f t="shared" si="22"/>
        <v>849397.55158836953</v>
      </c>
      <c r="V140">
        <f t="shared" si="23"/>
        <v>5943.7284116304945</v>
      </c>
    </row>
    <row r="141" spans="1:22">
      <c r="A141" t="s">
        <v>67</v>
      </c>
      <c r="B141" s="3">
        <v>45689</v>
      </c>
      <c r="C141" t="s">
        <v>27</v>
      </c>
      <c r="D141" t="s">
        <v>16</v>
      </c>
      <c r="E141">
        <v>45209.25</v>
      </c>
      <c r="F141">
        <v>9287</v>
      </c>
      <c r="G141">
        <v>86.4</v>
      </c>
      <c r="H141">
        <v>3.6</v>
      </c>
      <c r="I141">
        <f t="shared" si="16"/>
        <v>0</v>
      </c>
      <c r="J141">
        <v>0.14099999999999999</v>
      </c>
      <c r="K141">
        <v>22</v>
      </c>
      <c r="L141">
        <v>13.22</v>
      </c>
      <c r="M141">
        <v>0</v>
      </c>
      <c r="N141">
        <v>751393.88</v>
      </c>
      <c r="O141">
        <v>91480.320000000007</v>
      </c>
      <c r="P141">
        <f t="shared" si="17"/>
        <v>0</v>
      </c>
      <c r="Q141">
        <f t="shared" si="18"/>
        <v>0</v>
      </c>
      <c r="R141">
        <f t="shared" si="19"/>
        <v>0</v>
      </c>
      <c r="S141">
        <f t="shared" si="20"/>
        <v>0</v>
      </c>
      <c r="T141">
        <f t="shared" si="21"/>
        <v>0</v>
      </c>
      <c r="U141">
        <f t="shared" si="22"/>
        <v>746556.44567037979</v>
      </c>
      <c r="V141">
        <f t="shared" si="23"/>
        <v>4837.4343296202132</v>
      </c>
    </row>
    <row r="142" spans="1:22">
      <c r="A142" t="s">
        <v>101</v>
      </c>
      <c r="B142" s="3">
        <v>45689</v>
      </c>
      <c r="C142" t="s">
        <v>15</v>
      </c>
      <c r="D142" t="s">
        <v>16</v>
      </c>
      <c r="E142">
        <v>24088.06</v>
      </c>
      <c r="F142">
        <v>3466</v>
      </c>
      <c r="G142">
        <v>88</v>
      </c>
      <c r="H142">
        <v>3.8</v>
      </c>
      <c r="I142">
        <f t="shared" si="16"/>
        <v>0</v>
      </c>
      <c r="J142">
        <v>0</v>
      </c>
      <c r="K142">
        <v>11</v>
      </c>
      <c r="L142">
        <v>0.2</v>
      </c>
      <c r="M142">
        <v>0</v>
      </c>
      <c r="N142">
        <v>536845.42000000004</v>
      </c>
      <c r="O142">
        <v>107473.75</v>
      </c>
      <c r="P142">
        <f t="shared" si="17"/>
        <v>0</v>
      </c>
      <c r="Q142">
        <f t="shared" si="18"/>
        <v>0</v>
      </c>
      <c r="R142">
        <f t="shared" si="19"/>
        <v>1</v>
      </c>
      <c r="S142">
        <f t="shared" si="20"/>
        <v>0</v>
      </c>
      <c r="T142">
        <f t="shared" si="21"/>
        <v>0</v>
      </c>
      <c r="U142">
        <f t="shared" si="22"/>
        <v>532110.53233823925</v>
      </c>
      <c r="V142">
        <f t="shared" si="23"/>
        <v>4734.8876617607893</v>
      </c>
    </row>
    <row r="143" spans="1:22">
      <c r="A143" t="s">
        <v>87</v>
      </c>
      <c r="B143" s="3">
        <v>45689</v>
      </c>
      <c r="C143" t="s">
        <v>27</v>
      </c>
      <c r="D143" t="s">
        <v>18</v>
      </c>
      <c r="E143">
        <v>43288.2</v>
      </c>
      <c r="F143">
        <v>4783</v>
      </c>
      <c r="G143">
        <v>87.3</v>
      </c>
      <c r="H143">
        <v>4.2</v>
      </c>
      <c r="I143">
        <f t="shared" si="16"/>
        <v>0</v>
      </c>
      <c r="J143">
        <v>0.16900000000000001</v>
      </c>
      <c r="K143">
        <v>13</v>
      </c>
      <c r="L143" s="6">
        <v>4.5599999999999996</v>
      </c>
      <c r="M143">
        <v>0</v>
      </c>
      <c r="N143">
        <v>605751.32999999996</v>
      </c>
      <c r="O143">
        <v>60685.53</v>
      </c>
      <c r="P143">
        <f t="shared" si="17"/>
        <v>0</v>
      </c>
      <c r="Q143">
        <f t="shared" si="18"/>
        <v>0</v>
      </c>
      <c r="R143">
        <f t="shared" si="19"/>
        <v>0</v>
      </c>
      <c r="S143">
        <f t="shared" si="20"/>
        <v>0</v>
      </c>
      <c r="T143">
        <f t="shared" si="21"/>
        <v>1</v>
      </c>
      <c r="U143">
        <f t="shared" si="22"/>
        <v>601352.5943700833</v>
      </c>
      <c r="V143">
        <f t="shared" si="23"/>
        <v>4398.7356299166568</v>
      </c>
    </row>
    <row r="144" spans="1:22">
      <c r="A144" t="s">
        <v>92</v>
      </c>
      <c r="B144" s="3">
        <v>45748</v>
      </c>
      <c r="C144" t="s">
        <v>24</v>
      </c>
      <c r="D144" t="s">
        <v>18</v>
      </c>
      <c r="E144">
        <v>18599.21</v>
      </c>
      <c r="F144">
        <v>3027</v>
      </c>
      <c r="G144">
        <v>80.900000000000006</v>
      </c>
      <c r="H144">
        <v>4.2</v>
      </c>
      <c r="I144">
        <f t="shared" si="16"/>
        <v>0</v>
      </c>
      <c r="J144">
        <v>0.122</v>
      </c>
      <c r="K144">
        <v>11</v>
      </c>
      <c r="L144">
        <v>6.44</v>
      </c>
      <c r="M144">
        <v>0</v>
      </c>
      <c r="N144">
        <v>497439.82</v>
      </c>
      <c r="O144">
        <v>93372.75</v>
      </c>
      <c r="P144">
        <f t="shared" si="17"/>
        <v>0</v>
      </c>
      <c r="Q144">
        <f t="shared" si="18"/>
        <v>1</v>
      </c>
      <c r="R144">
        <f t="shared" si="19"/>
        <v>0</v>
      </c>
      <c r="S144">
        <f t="shared" si="20"/>
        <v>0</v>
      </c>
      <c r="T144">
        <f t="shared" si="21"/>
        <v>1</v>
      </c>
      <c r="U144">
        <f t="shared" si="22"/>
        <v>493376.70018515433</v>
      </c>
      <c r="V144">
        <f t="shared" si="23"/>
        <v>4063.1198148456751</v>
      </c>
    </row>
    <row r="145" spans="1:22">
      <c r="A145" t="s">
        <v>29</v>
      </c>
      <c r="B145" s="3">
        <v>45689</v>
      </c>
      <c r="C145" t="s">
        <v>15</v>
      </c>
      <c r="D145" t="s">
        <v>16</v>
      </c>
      <c r="E145">
        <v>63176.73</v>
      </c>
      <c r="F145">
        <v>2390</v>
      </c>
      <c r="G145">
        <v>87.5</v>
      </c>
      <c r="H145">
        <v>3.1</v>
      </c>
      <c r="I145">
        <f t="shared" si="16"/>
        <v>0</v>
      </c>
      <c r="J145">
        <v>0.216</v>
      </c>
      <c r="K145">
        <v>9</v>
      </c>
      <c r="L145">
        <v>0.31</v>
      </c>
      <c r="M145">
        <v>0</v>
      </c>
      <c r="N145">
        <v>537383.79</v>
      </c>
      <c r="O145">
        <v>63773.27</v>
      </c>
      <c r="P145">
        <f t="shared" si="17"/>
        <v>0</v>
      </c>
      <c r="Q145">
        <f t="shared" si="18"/>
        <v>0</v>
      </c>
      <c r="R145">
        <f t="shared" si="19"/>
        <v>1</v>
      </c>
      <c r="S145">
        <f t="shared" si="20"/>
        <v>0</v>
      </c>
      <c r="T145">
        <f t="shared" si="21"/>
        <v>0</v>
      </c>
      <c r="U145">
        <f t="shared" si="22"/>
        <v>533381.8621488245</v>
      </c>
      <c r="V145">
        <f t="shared" si="23"/>
        <v>4001.9278511755401</v>
      </c>
    </row>
    <row r="146" spans="1:22">
      <c r="A146" t="s">
        <v>80</v>
      </c>
      <c r="B146" s="3">
        <v>45748</v>
      </c>
      <c r="C146" t="s">
        <v>27</v>
      </c>
      <c r="D146" t="s">
        <v>16</v>
      </c>
      <c r="E146">
        <v>47944.14</v>
      </c>
      <c r="F146">
        <v>6169</v>
      </c>
      <c r="G146">
        <v>92.2</v>
      </c>
      <c r="H146">
        <v>4.0999999999999996</v>
      </c>
      <c r="I146">
        <f t="shared" si="16"/>
        <v>0</v>
      </c>
      <c r="J146">
        <v>0.11899999999999999</v>
      </c>
      <c r="K146">
        <v>17</v>
      </c>
      <c r="L146">
        <v>3.02</v>
      </c>
      <c r="M146">
        <v>0</v>
      </c>
      <c r="N146">
        <v>670629.48</v>
      </c>
      <c r="O146">
        <v>100140.8</v>
      </c>
      <c r="P146">
        <f t="shared" si="17"/>
        <v>0</v>
      </c>
      <c r="Q146">
        <f t="shared" si="18"/>
        <v>0</v>
      </c>
      <c r="R146">
        <f t="shared" si="19"/>
        <v>0</v>
      </c>
      <c r="S146">
        <f t="shared" si="20"/>
        <v>0</v>
      </c>
      <c r="T146">
        <f t="shared" si="21"/>
        <v>0</v>
      </c>
      <c r="U146">
        <f t="shared" si="22"/>
        <v>667477.88488867227</v>
      </c>
      <c r="V146">
        <f t="shared" si="23"/>
        <v>3151.5951113277115</v>
      </c>
    </row>
    <row r="147" spans="1:22">
      <c r="A147" t="s">
        <v>67</v>
      </c>
      <c r="B147" s="3">
        <v>45748</v>
      </c>
      <c r="C147" t="s">
        <v>27</v>
      </c>
      <c r="D147" t="s">
        <v>16</v>
      </c>
      <c r="E147">
        <v>57948.88</v>
      </c>
      <c r="F147">
        <v>10741</v>
      </c>
      <c r="G147">
        <v>90.1</v>
      </c>
      <c r="H147">
        <v>3.1</v>
      </c>
      <c r="I147">
        <f t="shared" si="16"/>
        <v>0</v>
      </c>
      <c r="J147">
        <v>7.0000000000000007E-2</v>
      </c>
      <c r="K147">
        <v>25</v>
      </c>
      <c r="L147">
        <v>4.03</v>
      </c>
      <c r="M147">
        <v>0</v>
      </c>
      <c r="N147">
        <v>819660.59</v>
      </c>
      <c r="O147">
        <v>172699.95</v>
      </c>
      <c r="P147">
        <f t="shared" si="17"/>
        <v>0</v>
      </c>
      <c r="Q147">
        <f t="shared" si="18"/>
        <v>0</v>
      </c>
      <c r="R147">
        <f t="shared" si="19"/>
        <v>0</v>
      </c>
      <c r="S147">
        <f t="shared" si="20"/>
        <v>0</v>
      </c>
      <c r="T147">
        <f t="shared" si="21"/>
        <v>0</v>
      </c>
      <c r="U147">
        <f t="shared" si="22"/>
        <v>816749.97793174651</v>
      </c>
      <c r="V147">
        <f t="shared" si="23"/>
        <v>2910.6120682534529</v>
      </c>
    </row>
    <row r="148" spans="1:22">
      <c r="A148" t="s">
        <v>75</v>
      </c>
      <c r="B148" s="3">
        <v>45748</v>
      </c>
      <c r="C148" t="s">
        <v>27</v>
      </c>
      <c r="D148" t="s">
        <v>16</v>
      </c>
      <c r="E148">
        <v>47391.09</v>
      </c>
      <c r="F148">
        <v>11224</v>
      </c>
      <c r="G148">
        <v>88.4</v>
      </c>
      <c r="H148">
        <v>4.9000000000000004</v>
      </c>
      <c r="I148">
        <f t="shared" si="16"/>
        <v>0</v>
      </c>
      <c r="J148">
        <v>0.14699999999999999</v>
      </c>
      <c r="K148">
        <v>25</v>
      </c>
      <c r="L148">
        <v>2.44</v>
      </c>
      <c r="M148">
        <v>0</v>
      </c>
      <c r="N148">
        <v>836908.24</v>
      </c>
      <c r="O148">
        <v>141090.26</v>
      </c>
      <c r="P148">
        <f t="shared" si="17"/>
        <v>0</v>
      </c>
      <c r="Q148">
        <f t="shared" si="18"/>
        <v>0</v>
      </c>
      <c r="R148">
        <f t="shared" si="19"/>
        <v>0</v>
      </c>
      <c r="S148">
        <f t="shared" si="20"/>
        <v>0</v>
      </c>
      <c r="T148">
        <f t="shared" si="21"/>
        <v>0</v>
      </c>
      <c r="U148">
        <f t="shared" si="22"/>
        <v>834105.33928434178</v>
      </c>
      <c r="V148">
        <f t="shared" si="23"/>
        <v>2802.9007156582084</v>
      </c>
    </row>
    <row r="149" spans="1:22">
      <c r="A149" t="s">
        <v>67</v>
      </c>
      <c r="B149" s="3">
        <v>45717</v>
      </c>
      <c r="C149" t="s">
        <v>27</v>
      </c>
      <c r="D149" t="s">
        <v>16</v>
      </c>
      <c r="E149">
        <v>63010.23</v>
      </c>
      <c r="F149">
        <v>9812</v>
      </c>
      <c r="G149">
        <v>76.8</v>
      </c>
      <c r="H149">
        <v>3.8</v>
      </c>
      <c r="I149">
        <f t="shared" si="16"/>
        <v>0</v>
      </c>
      <c r="J149">
        <v>0.113</v>
      </c>
      <c r="K149">
        <v>24</v>
      </c>
      <c r="L149">
        <v>1.02</v>
      </c>
      <c r="M149">
        <v>1</v>
      </c>
      <c r="N149">
        <v>761077.08</v>
      </c>
      <c r="O149">
        <v>113605.93</v>
      </c>
      <c r="P149">
        <f t="shared" si="17"/>
        <v>0</v>
      </c>
      <c r="Q149">
        <f t="shared" si="18"/>
        <v>0</v>
      </c>
      <c r="R149">
        <f t="shared" si="19"/>
        <v>0</v>
      </c>
      <c r="S149">
        <f t="shared" si="20"/>
        <v>0</v>
      </c>
      <c r="T149">
        <f t="shared" si="21"/>
        <v>0</v>
      </c>
      <c r="U149">
        <f t="shared" si="22"/>
        <v>758286.08205128904</v>
      </c>
      <c r="V149">
        <f t="shared" si="23"/>
        <v>2790.9979487109231</v>
      </c>
    </row>
    <row r="150" spans="1:22">
      <c r="A150" t="s">
        <v>70</v>
      </c>
      <c r="B150" s="3">
        <v>45717</v>
      </c>
      <c r="C150" t="s">
        <v>27</v>
      </c>
      <c r="D150" t="s">
        <v>16</v>
      </c>
      <c r="E150">
        <v>40220.18</v>
      </c>
      <c r="F150">
        <v>3783</v>
      </c>
      <c r="G150">
        <v>86.6</v>
      </c>
      <c r="H150">
        <v>3.7</v>
      </c>
      <c r="I150">
        <f t="shared" si="16"/>
        <v>0</v>
      </c>
      <c r="J150">
        <v>8.8999999999999996E-2</v>
      </c>
      <c r="K150">
        <v>14</v>
      </c>
      <c r="L150">
        <v>3.63</v>
      </c>
      <c r="M150">
        <v>0</v>
      </c>
      <c r="N150">
        <v>559422.02</v>
      </c>
      <c r="O150">
        <v>73528.740000000005</v>
      </c>
      <c r="P150">
        <f t="shared" si="17"/>
        <v>0</v>
      </c>
      <c r="Q150">
        <f t="shared" si="18"/>
        <v>0</v>
      </c>
      <c r="R150">
        <f t="shared" si="19"/>
        <v>0</v>
      </c>
      <c r="S150">
        <f t="shared" si="20"/>
        <v>0</v>
      </c>
      <c r="T150">
        <f t="shared" si="21"/>
        <v>0</v>
      </c>
      <c r="U150">
        <f t="shared" si="22"/>
        <v>556645.10130843963</v>
      </c>
      <c r="V150">
        <f t="shared" si="23"/>
        <v>2776.9186915603932</v>
      </c>
    </row>
    <row r="151" spans="1:22">
      <c r="A151" t="s">
        <v>41</v>
      </c>
      <c r="B151" s="3">
        <v>45658</v>
      </c>
      <c r="C151" t="s">
        <v>24</v>
      </c>
      <c r="D151" t="s">
        <v>18</v>
      </c>
      <c r="E151">
        <v>56973.18</v>
      </c>
      <c r="F151">
        <v>6662</v>
      </c>
      <c r="G151">
        <v>77.7</v>
      </c>
      <c r="H151">
        <v>3.2</v>
      </c>
      <c r="I151">
        <f t="shared" si="16"/>
        <v>0</v>
      </c>
      <c r="J151">
        <v>0.1</v>
      </c>
      <c r="K151">
        <v>15</v>
      </c>
      <c r="L151">
        <v>7.52</v>
      </c>
      <c r="M151">
        <v>1</v>
      </c>
      <c r="N151">
        <v>643657.47</v>
      </c>
      <c r="O151">
        <v>87022.45</v>
      </c>
      <c r="P151">
        <f t="shared" si="17"/>
        <v>0</v>
      </c>
      <c r="Q151">
        <f t="shared" si="18"/>
        <v>1</v>
      </c>
      <c r="R151">
        <f t="shared" si="19"/>
        <v>0</v>
      </c>
      <c r="S151">
        <f t="shared" si="20"/>
        <v>0</v>
      </c>
      <c r="T151">
        <f t="shared" si="21"/>
        <v>1</v>
      </c>
      <c r="U151">
        <f t="shared" si="22"/>
        <v>641361.10462440061</v>
      </c>
      <c r="V151">
        <f t="shared" si="23"/>
        <v>2296.3653755993582</v>
      </c>
    </row>
    <row r="152" spans="1:22">
      <c r="A152" t="s">
        <v>59</v>
      </c>
      <c r="B152" s="3">
        <v>45689</v>
      </c>
      <c r="C152" t="s">
        <v>24</v>
      </c>
      <c r="D152" t="s">
        <v>28</v>
      </c>
      <c r="E152">
        <v>43319.94</v>
      </c>
      <c r="F152">
        <v>6551</v>
      </c>
      <c r="G152">
        <v>99</v>
      </c>
      <c r="H152">
        <v>4.0999999999999996</v>
      </c>
      <c r="I152">
        <f t="shared" si="16"/>
        <v>1</v>
      </c>
      <c r="J152">
        <v>4.3999999999999997E-2</v>
      </c>
      <c r="K152">
        <v>13</v>
      </c>
      <c r="L152">
        <v>5.45</v>
      </c>
      <c r="M152">
        <v>0</v>
      </c>
      <c r="N152">
        <v>712868.35</v>
      </c>
      <c r="O152">
        <v>133650.51</v>
      </c>
      <c r="P152">
        <f t="shared" si="17"/>
        <v>0</v>
      </c>
      <c r="Q152">
        <f t="shared" si="18"/>
        <v>1</v>
      </c>
      <c r="R152">
        <f t="shared" si="19"/>
        <v>0</v>
      </c>
      <c r="S152">
        <f t="shared" si="20"/>
        <v>0</v>
      </c>
      <c r="T152">
        <f t="shared" si="21"/>
        <v>0</v>
      </c>
      <c r="U152">
        <f t="shared" si="22"/>
        <v>710804.41083580686</v>
      </c>
      <c r="V152">
        <f t="shared" si="23"/>
        <v>2063.9391641931143</v>
      </c>
    </row>
    <row r="153" spans="1:22">
      <c r="A153" t="s">
        <v>77</v>
      </c>
      <c r="B153" s="3">
        <v>45689</v>
      </c>
      <c r="C153" t="s">
        <v>15</v>
      </c>
      <c r="D153" t="s">
        <v>18</v>
      </c>
      <c r="E153">
        <v>27194.639999999999</v>
      </c>
      <c r="F153">
        <v>7404</v>
      </c>
      <c r="G153">
        <v>90.2</v>
      </c>
      <c r="H153">
        <v>3.4</v>
      </c>
      <c r="I153">
        <f t="shared" si="16"/>
        <v>0</v>
      </c>
      <c r="J153">
        <v>8.7999999999999995E-2</v>
      </c>
      <c r="K153">
        <v>18</v>
      </c>
      <c r="L153">
        <v>1.2</v>
      </c>
      <c r="M153">
        <v>0</v>
      </c>
      <c r="N153">
        <v>672670.54</v>
      </c>
      <c r="O153">
        <v>132684.18</v>
      </c>
      <c r="P153">
        <f t="shared" si="17"/>
        <v>0</v>
      </c>
      <c r="Q153">
        <f t="shared" si="18"/>
        <v>0</v>
      </c>
      <c r="R153">
        <f t="shared" si="19"/>
        <v>1</v>
      </c>
      <c r="S153">
        <f t="shared" si="20"/>
        <v>0</v>
      </c>
      <c r="T153">
        <f t="shared" si="21"/>
        <v>1</v>
      </c>
      <c r="U153">
        <f t="shared" si="22"/>
        <v>671138.61749336577</v>
      </c>
      <c r="V153">
        <f t="shared" si="23"/>
        <v>1531.9225066342624</v>
      </c>
    </row>
    <row r="154" spans="1:22">
      <c r="A154" t="s">
        <v>91</v>
      </c>
      <c r="B154" s="3">
        <v>45717</v>
      </c>
      <c r="C154" t="s">
        <v>24</v>
      </c>
      <c r="D154" t="s">
        <v>16</v>
      </c>
      <c r="E154">
        <v>48609.41</v>
      </c>
      <c r="F154">
        <v>9324</v>
      </c>
      <c r="G154">
        <v>86.5</v>
      </c>
      <c r="H154">
        <v>3.9</v>
      </c>
      <c r="I154">
        <f t="shared" si="16"/>
        <v>0</v>
      </c>
      <c r="J154">
        <v>0.21299999999999999</v>
      </c>
      <c r="K154">
        <v>18</v>
      </c>
      <c r="L154">
        <v>1.44</v>
      </c>
      <c r="M154">
        <v>0</v>
      </c>
      <c r="N154">
        <v>756619.77</v>
      </c>
      <c r="O154">
        <v>112057.69</v>
      </c>
      <c r="P154">
        <f t="shared" si="17"/>
        <v>0</v>
      </c>
      <c r="Q154">
        <f t="shared" si="18"/>
        <v>1</v>
      </c>
      <c r="R154">
        <f t="shared" si="19"/>
        <v>0</v>
      </c>
      <c r="S154">
        <f t="shared" si="20"/>
        <v>0</v>
      </c>
      <c r="T154">
        <f t="shared" si="21"/>
        <v>0</v>
      </c>
      <c r="U154">
        <f t="shared" si="22"/>
        <v>755269.15130545164</v>
      </c>
      <c r="V154">
        <f t="shared" si="23"/>
        <v>1350.6186945483787</v>
      </c>
    </row>
    <row r="155" spans="1:22">
      <c r="A155" t="s">
        <v>93</v>
      </c>
      <c r="B155" s="3">
        <v>45717</v>
      </c>
      <c r="C155" t="s">
        <v>27</v>
      </c>
      <c r="D155" t="s">
        <v>16</v>
      </c>
      <c r="E155">
        <v>55371.97</v>
      </c>
      <c r="F155">
        <v>4162</v>
      </c>
      <c r="G155">
        <v>92</v>
      </c>
      <c r="H155">
        <v>4.2</v>
      </c>
      <c r="I155">
        <f t="shared" si="16"/>
        <v>0</v>
      </c>
      <c r="J155">
        <v>0.183</v>
      </c>
      <c r="K155">
        <v>11</v>
      </c>
      <c r="L155">
        <v>0.2</v>
      </c>
      <c r="M155">
        <v>1</v>
      </c>
      <c r="N155">
        <v>609949</v>
      </c>
      <c r="O155">
        <v>126789.25</v>
      </c>
      <c r="P155">
        <f t="shared" si="17"/>
        <v>0</v>
      </c>
      <c r="Q155">
        <f t="shared" si="18"/>
        <v>0</v>
      </c>
      <c r="R155">
        <f t="shared" si="19"/>
        <v>0</v>
      </c>
      <c r="S155">
        <f t="shared" si="20"/>
        <v>0</v>
      </c>
      <c r="T155">
        <f t="shared" si="21"/>
        <v>0</v>
      </c>
      <c r="U155">
        <f t="shared" si="22"/>
        <v>609031.90887412243</v>
      </c>
      <c r="V155">
        <f t="shared" si="23"/>
        <v>917.09112587757409</v>
      </c>
    </row>
    <row r="156" spans="1:22">
      <c r="A156" t="s">
        <v>78</v>
      </c>
      <c r="B156" s="3">
        <v>45689</v>
      </c>
      <c r="C156" t="s">
        <v>15</v>
      </c>
      <c r="D156" t="s">
        <v>28</v>
      </c>
      <c r="E156">
        <v>57225.98</v>
      </c>
      <c r="F156">
        <v>2842</v>
      </c>
      <c r="G156">
        <v>79.5</v>
      </c>
      <c r="H156">
        <v>3.4</v>
      </c>
      <c r="I156">
        <f t="shared" si="16"/>
        <v>1</v>
      </c>
      <c r="J156">
        <v>0.112</v>
      </c>
      <c r="K156">
        <v>10</v>
      </c>
      <c r="L156">
        <v>5.45</v>
      </c>
      <c r="M156">
        <v>0</v>
      </c>
      <c r="N156">
        <v>536545.49</v>
      </c>
      <c r="O156">
        <v>97917.45</v>
      </c>
      <c r="P156">
        <f t="shared" si="17"/>
        <v>0</v>
      </c>
      <c r="Q156">
        <f t="shared" si="18"/>
        <v>0</v>
      </c>
      <c r="R156">
        <f t="shared" si="19"/>
        <v>1</v>
      </c>
      <c r="S156">
        <f t="shared" si="20"/>
        <v>0</v>
      </c>
      <c r="T156">
        <f t="shared" si="21"/>
        <v>0</v>
      </c>
      <c r="U156">
        <f t="shared" si="22"/>
        <v>535631.64166303433</v>
      </c>
      <c r="V156">
        <f t="shared" si="23"/>
        <v>913.84833696566056</v>
      </c>
    </row>
    <row r="157" spans="1:22">
      <c r="A157" t="s">
        <v>43</v>
      </c>
      <c r="B157" s="3">
        <v>45717</v>
      </c>
      <c r="C157" t="s">
        <v>27</v>
      </c>
      <c r="D157" t="s">
        <v>18</v>
      </c>
      <c r="E157">
        <v>78231.91</v>
      </c>
      <c r="F157">
        <v>3788</v>
      </c>
      <c r="G157">
        <v>88.5</v>
      </c>
      <c r="H157">
        <v>4.3</v>
      </c>
      <c r="I157">
        <f t="shared" si="16"/>
        <v>0</v>
      </c>
      <c r="J157">
        <v>5.8999999999999997E-2</v>
      </c>
      <c r="K157">
        <v>11</v>
      </c>
      <c r="L157">
        <v>15.51</v>
      </c>
      <c r="M157">
        <v>0</v>
      </c>
      <c r="N157">
        <v>614596.31999999995</v>
      </c>
      <c r="O157">
        <v>131199.41</v>
      </c>
      <c r="P157">
        <f t="shared" si="17"/>
        <v>0</v>
      </c>
      <c r="Q157">
        <f t="shared" si="18"/>
        <v>0</v>
      </c>
      <c r="R157">
        <f t="shared" si="19"/>
        <v>0</v>
      </c>
      <c r="S157">
        <f t="shared" si="20"/>
        <v>0</v>
      </c>
      <c r="T157">
        <f t="shared" si="21"/>
        <v>1</v>
      </c>
      <c r="U157">
        <f t="shared" si="22"/>
        <v>613943.11635565921</v>
      </c>
      <c r="V157">
        <f t="shared" si="23"/>
        <v>653.20364434074145</v>
      </c>
    </row>
    <row r="158" spans="1:22">
      <c r="A158" t="s">
        <v>63</v>
      </c>
      <c r="B158" s="3">
        <v>45748</v>
      </c>
      <c r="C158" t="s">
        <v>20</v>
      </c>
      <c r="D158" t="s">
        <v>28</v>
      </c>
      <c r="E158">
        <v>78432.14</v>
      </c>
      <c r="F158">
        <v>9440</v>
      </c>
      <c r="G158">
        <v>89.2</v>
      </c>
      <c r="H158">
        <v>4.0999999999999996</v>
      </c>
      <c r="I158">
        <f t="shared" si="16"/>
        <v>1</v>
      </c>
      <c r="J158">
        <v>0.126</v>
      </c>
      <c r="K158">
        <v>23</v>
      </c>
      <c r="L158">
        <v>7.86</v>
      </c>
      <c r="M158">
        <v>0</v>
      </c>
      <c r="N158">
        <v>820729.29</v>
      </c>
      <c r="O158">
        <v>159325.47</v>
      </c>
      <c r="P158">
        <f t="shared" si="17"/>
        <v>1</v>
      </c>
      <c r="Q158">
        <f t="shared" si="18"/>
        <v>0</v>
      </c>
      <c r="R158">
        <f t="shared" si="19"/>
        <v>0</v>
      </c>
      <c r="S158">
        <f t="shared" si="20"/>
        <v>0</v>
      </c>
      <c r="T158">
        <f t="shared" si="21"/>
        <v>0</v>
      </c>
      <c r="U158">
        <f t="shared" si="22"/>
        <v>820115.66844797821</v>
      </c>
      <c r="V158">
        <f t="shared" si="23"/>
        <v>613.62155202182475</v>
      </c>
    </row>
    <row r="159" spans="1:22">
      <c r="A159" t="s">
        <v>95</v>
      </c>
      <c r="B159" s="3">
        <v>45717</v>
      </c>
      <c r="C159" t="s">
        <v>27</v>
      </c>
      <c r="D159" t="s">
        <v>18</v>
      </c>
      <c r="E159">
        <v>59825.51</v>
      </c>
      <c r="F159">
        <v>1231</v>
      </c>
      <c r="G159">
        <v>84.8</v>
      </c>
      <c r="H159">
        <v>4.7</v>
      </c>
      <c r="I159">
        <f t="shared" si="16"/>
        <v>0</v>
      </c>
      <c r="J159">
        <v>0.214</v>
      </c>
      <c r="K159">
        <v>10</v>
      </c>
      <c r="L159">
        <v>8.9600000000000009</v>
      </c>
      <c r="M159">
        <v>0</v>
      </c>
      <c r="N159">
        <v>498970.32</v>
      </c>
      <c r="O159">
        <v>69656.7</v>
      </c>
      <c r="P159">
        <f t="shared" si="17"/>
        <v>0</v>
      </c>
      <c r="Q159">
        <f t="shared" si="18"/>
        <v>0</v>
      </c>
      <c r="R159">
        <f t="shared" si="19"/>
        <v>0</v>
      </c>
      <c r="S159">
        <f t="shared" si="20"/>
        <v>0</v>
      </c>
      <c r="T159">
        <f t="shared" si="21"/>
        <v>1</v>
      </c>
      <c r="U159">
        <f t="shared" si="22"/>
        <v>498781.2409773324</v>
      </c>
      <c r="V159">
        <f t="shared" si="23"/>
        <v>189.07902266760357</v>
      </c>
    </row>
    <row r="160" spans="1:22">
      <c r="A160" t="s">
        <v>90</v>
      </c>
      <c r="B160" s="3">
        <v>45717</v>
      </c>
      <c r="C160" t="s">
        <v>27</v>
      </c>
      <c r="D160" t="s">
        <v>18</v>
      </c>
      <c r="E160">
        <v>47648.71</v>
      </c>
      <c r="F160">
        <v>5767</v>
      </c>
      <c r="G160">
        <v>89.8</v>
      </c>
      <c r="H160">
        <v>3.1</v>
      </c>
      <c r="I160">
        <f t="shared" si="16"/>
        <v>0</v>
      </c>
      <c r="J160">
        <v>0.14099999999999999</v>
      </c>
      <c r="K160">
        <v>17</v>
      </c>
      <c r="L160">
        <v>1.76</v>
      </c>
      <c r="M160">
        <v>0</v>
      </c>
      <c r="N160">
        <v>635837.74</v>
      </c>
      <c r="O160">
        <v>114740.64</v>
      </c>
      <c r="P160">
        <f t="shared" si="17"/>
        <v>0</v>
      </c>
      <c r="Q160">
        <f t="shared" si="18"/>
        <v>0</v>
      </c>
      <c r="R160">
        <f t="shared" si="19"/>
        <v>0</v>
      </c>
      <c r="S160">
        <f t="shared" si="20"/>
        <v>0</v>
      </c>
      <c r="T160">
        <f t="shared" si="21"/>
        <v>1</v>
      </c>
      <c r="U160">
        <f t="shared" si="22"/>
        <v>635851.08712831081</v>
      </c>
      <c r="V160">
        <f t="shared" si="23"/>
        <v>-13.347128310822882</v>
      </c>
    </row>
    <row r="161" spans="1:22">
      <c r="A161" t="s">
        <v>32</v>
      </c>
      <c r="B161" s="3">
        <v>45748</v>
      </c>
      <c r="C161" t="s">
        <v>15</v>
      </c>
      <c r="D161" t="s">
        <v>28</v>
      </c>
      <c r="E161">
        <v>64882.14</v>
      </c>
      <c r="F161">
        <v>3642</v>
      </c>
      <c r="G161">
        <v>87.8</v>
      </c>
      <c r="H161">
        <v>4.2</v>
      </c>
      <c r="I161">
        <f t="shared" si="16"/>
        <v>1</v>
      </c>
      <c r="J161">
        <v>1.9E-2</v>
      </c>
      <c r="K161">
        <v>13</v>
      </c>
      <c r="L161">
        <v>4.5199999999999996</v>
      </c>
      <c r="M161">
        <v>0</v>
      </c>
      <c r="N161">
        <v>605178</v>
      </c>
      <c r="O161">
        <v>106958.74</v>
      </c>
      <c r="P161">
        <f t="shared" si="17"/>
        <v>0</v>
      </c>
      <c r="Q161">
        <f t="shared" si="18"/>
        <v>0</v>
      </c>
      <c r="R161">
        <f t="shared" si="19"/>
        <v>1</v>
      </c>
      <c r="S161">
        <f t="shared" si="20"/>
        <v>0</v>
      </c>
      <c r="T161">
        <f t="shared" si="21"/>
        <v>0</v>
      </c>
      <c r="U161">
        <f t="shared" si="22"/>
        <v>605266.8406650282</v>
      </c>
      <c r="V161">
        <f t="shared" si="23"/>
        <v>-88.840665028197691</v>
      </c>
    </row>
    <row r="162" spans="1:22">
      <c r="A162" t="s">
        <v>58</v>
      </c>
      <c r="B162" s="3">
        <v>45748</v>
      </c>
      <c r="C162" t="s">
        <v>20</v>
      </c>
      <c r="D162" t="s">
        <v>16</v>
      </c>
      <c r="E162">
        <v>60322.400000000001</v>
      </c>
      <c r="F162">
        <v>3350</v>
      </c>
      <c r="G162">
        <v>89.4</v>
      </c>
      <c r="H162">
        <v>3.4</v>
      </c>
      <c r="I162">
        <f t="shared" si="16"/>
        <v>0</v>
      </c>
      <c r="J162">
        <v>0.108</v>
      </c>
      <c r="K162">
        <v>12</v>
      </c>
      <c r="L162">
        <v>4.92</v>
      </c>
      <c r="M162">
        <v>0</v>
      </c>
      <c r="N162">
        <v>570964.84</v>
      </c>
      <c r="O162">
        <v>81331.070000000007</v>
      </c>
      <c r="P162">
        <f t="shared" si="17"/>
        <v>1</v>
      </c>
      <c r="Q162">
        <f t="shared" si="18"/>
        <v>0</v>
      </c>
      <c r="R162">
        <f t="shared" si="19"/>
        <v>0</v>
      </c>
      <c r="S162">
        <f t="shared" si="20"/>
        <v>0</v>
      </c>
      <c r="T162">
        <f t="shared" si="21"/>
        <v>0</v>
      </c>
      <c r="U162">
        <f t="shared" si="22"/>
        <v>571276.92491666891</v>
      </c>
      <c r="V162">
        <f t="shared" si="23"/>
        <v>-312.08491666894406</v>
      </c>
    </row>
    <row r="163" spans="1:22">
      <c r="A163" t="s">
        <v>84</v>
      </c>
      <c r="B163" s="3">
        <v>45717</v>
      </c>
      <c r="C163" t="s">
        <v>20</v>
      </c>
      <c r="D163" t="s">
        <v>18</v>
      </c>
      <c r="E163">
        <v>38361.93</v>
      </c>
      <c r="F163">
        <v>6322</v>
      </c>
      <c r="G163">
        <v>88.4</v>
      </c>
      <c r="H163">
        <v>4</v>
      </c>
      <c r="I163">
        <f t="shared" si="16"/>
        <v>0</v>
      </c>
      <c r="J163">
        <v>0.27300000000000002</v>
      </c>
      <c r="K163">
        <v>15</v>
      </c>
      <c r="L163">
        <v>0.83</v>
      </c>
      <c r="M163">
        <v>0</v>
      </c>
      <c r="N163">
        <v>647953.78</v>
      </c>
      <c r="O163">
        <v>118497.43</v>
      </c>
      <c r="P163">
        <f t="shared" si="17"/>
        <v>1</v>
      </c>
      <c r="Q163">
        <f t="shared" si="18"/>
        <v>0</v>
      </c>
      <c r="R163">
        <f t="shared" si="19"/>
        <v>0</v>
      </c>
      <c r="S163">
        <f t="shared" si="20"/>
        <v>0</v>
      </c>
      <c r="T163">
        <f t="shared" si="21"/>
        <v>1</v>
      </c>
      <c r="U163">
        <f t="shared" si="22"/>
        <v>648675.41360759689</v>
      </c>
      <c r="V163">
        <f t="shared" si="23"/>
        <v>-721.63360759685747</v>
      </c>
    </row>
    <row r="164" spans="1:22">
      <c r="A164" t="s">
        <v>32</v>
      </c>
      <c r="B164" s="3">
        <v>45689</v>
      </c>
      <c r="C164" t="s">
        <v>15</v>
      </c>
      <c r="D164" t="s">
        <v>28</v>
      </c>
      <c r="E164">
        <v>46123.88</v>
      </c>
      <c r="F164">
        <v>3227</v>
      </c>
      <c r="G164">
        <v>75.400000000000006</v>
      </c>
      <c r="H164">
        <v>4.4000000000000004</v>
      </c>
      <c r="I164">
        <f t="shared" si="16"/>
        <v>1</v>
      </c>
      <c r="J164">
        <v>0.14299999999999999</v>
      </c>
      <c r="K164">
        <v>10</v>
      </c>
      <c r="L164">
        <v>1.06</v>
      </c>
      <c r="M164">
        <v>0</v>
      </c>
      <c r="N164">
        <v>532644.46</v>
      </c>
      <c r="O164">
        <v>60681.32</v>
      </c>
      <c r="P164">
        <f t="shared" si="17"/>
        <v>0</v>
      </c>
      <c r="Q164">
        <f t="shared" si="18"/>
        <v>0</v>
      </c>
      <c r="R164">
        <f t="shared" si="19"/>
        <v>1</v>
      </c>
      <c r="S164">
        <f t="shared" si="20"/>
        <v>0</v>
      </c>
      <c r="T164">
        <f t="shared" si="21"/>
        <v>0</v>
      </c>
      <c r="U164">
        <f t="shared" si="22"/>
        <v>533402.72699167149</v>
      </c>
      <c r="V164">
        <f t="shared" si="23"/>
        <v>-758.26699167152401</v>
      </c>
    </row>
    <row r="165" spans="1:22">
      <c r="A165" t="s">
        <v>49</v>
      </c>
      <c r="B165" s="3">
        <v>45689</v>
      </c>
      <c r="C165" t="s">
        <v>15</v>
      </c>
      <c r="D165" t="s">
        <v>28</v>
      </c>
      <c r="E165">
        <v>69411.7</v>
      </c>
      <c r="F165">
        <v>5493</v>
      </c>
      <c r="G165">
        <v>86.5</v>
      </c>
      <c r="H165">
        <v>3.8</v>
      </c>
      <c r="I165">
        <f t="shared" si="16"/>
        <v>1</v>
      </c>
      <c r="J165">
        <v>0.29199999999999998</v>
      </c>
      <c r="K165">
        <v>13</v>
      </c>
      <c r="L165">
        <v>6.69</v>
      </c>
      <c r="M165">
        <v>0</v>
      </c>
      <c r="N165">
        <v>664162.49</v>
      </c>
      <c r="O165">
        <v>98291.06</v>
      </c>
      <c r="P165">
        <f t="shared" si="17"/>
        <v>0</v>
      </c>
      <c r="Q165">
        <f t="shared" si="18"/>
        <v>0</v>
      </c>
      <c r="R165">
        <f t="shared" si="19"/>
        <v>1</v>
      </c>
      <c r="S165">
        <f t="shared" si="20"/>
        <v>0</v>
      </c>
      <c r="T165">
        <f t="shared" si="21"/>
        <v>0</v>
      </c>
      <c r="U165">
        <f t="shared" si="22"/>
        <v>664952.17339887796</v>
      </c>
      <c r="V165">
        <f t="shared" si="23"/>
        <v>-789.68339887796901</v>
      </c>
    </row>
    <row r="166" spans="1:22">
      <c r="A166" t="s">
        <v>37</v>
      </c>
      <c r="B166" s="3">
        <v>45717</v>
      </c>
      <c r="C166" t="s">
        <v>24</v>
      </c>
      <c r="D166" t="s">
        <v>18</v>
      </c>
      <c r="E166">
        <v>50343.19</v>
      </c>
      <c r="F166">
        <v>3845</v>
      </c>
      <c r="G166">
        <v>88.7</v>
      </c>
      <c r="H166">
        <v>3.3</v>
      </c>
      <c r="I166">
        <f t="shared" si="16"/>
        <v>0</v>
      </c>
      <c r="J166">
        <v>0.113</v>
      </c>
      <c r="K166">
        <v>9</v>
      </c>
      <c r="L166">
        <v>5.15</v>
      </c>
      <c r="M166">
        <v>0</v>
      </c>
      <c r="N166">
        <v>572011.19999999995</v>
      </c>
      <c r="O166">
        <v>101409.68</v>
      </c>
      <c r="P166">
        <f t="shared" si="17"/>
        <v>0</v>
      </c>
      <c r="Q166">
        <f t="shared" si="18"/>
        <v>1</v>
      </c>
      <c r="R166">
        <f t="shared" si="19"/>
        <v>0</v>
      </c>
      <c r="S166">
        <f t="shared" si="20"/>
        <v>0</v>
      </c>
      <c r="T166">
        <f t="shared" si="21"/>
        <v>1</v>
      </c>
      <c r="U166">
        <f t="shared" si="22"/>
        <v>572962.22943435458</v>
      </c>
      <c r="V166">
        <f t="shared" si="23"/>
        <v>-951.02943435462657</v>
      </c>
    </row>
    <row r="167" spans="1:22">
      <c r="A167" t="s">
        <v>62</v>
      </c>
      <c r="B167" s="3">
        <v>45748</v>
      </c>
      <c r="C167" t="s">
        <v>24</v>
      </c>
      <c r="D167" t="s">
        <v>18</v>
      </c>
      <c r="E167">
        <v>66870.62</v>
      </c>
      <c r="F167">
        <v>6055</v>
      </c>
      <c r="G167">
        <v>93.8</v>
      </c>
      <c r="H167">
        <v>4.3</v>
      </c>
      <c r="I167">
        <f t="shared" si="16"/>
        <v>0</v>
      </c>
      <c r="J167">
        <v>7.4999999999999997E-2</v>
      </c>
      <c r="K167">
        <v>19</v>
      </c>
      <c r="L167">
        <v>0.54</v>
      </c>
      <c r="M167">
        <v>0</v>
      </c>
      <c r="N167">
        <v>692008.64</v>
      </c>
      <c r="O167">
        <v>116337.87</v>
      </c>
      <c r="P167">
        <f t="shared" si="17"/>
        <v>0</v>
      </c>
      <c r="Q167">
        <f t="shared" si="18"/>
        <v>1</v>
      </c>
      <c r="R167">
        <f t="shared" si="19"/>
        <v>0</v>
      </c>
      <c r="S167">
        <f t="shared" si="20"/>
        <v>0</v>
      </c>
      <c r="T167">
        <f t="shared" si="21"/>
        <v>1</v>
      </c>
      <c r="U167">
        <f t="shared" si="22"/>
        <v>693037.08442259999</v>
      </c>
      <c r="V167">
        <f t="shared" si="23"/>
        <v>-1028.444422599976</v>
      </c>
    </row>
    <row r="168" spans="1:22">
      <c r="A168" t="s">
        <v>77</v>
      </c>
      <c r="B168" s="3">
        <v>45717</v>
      </c>
      <c r="C168" t="s">
        <v>15</v>
      </c>
      <c r="D168" t="s">
        <v>18</v>
      </c>
      <c r="E168">
        <v>66962.740000000005</v>
      </c>
      <c r="F168">
        <v>7880</v>
      </c>
      <c r="G168">
        <v>90.4</v>
      </c>
      <c r="H168">
        <v>3.3</v>
      </c>
      <c r="I168">
        <f t="shared" si="16"/>
        <v>0</v>
      </c>
      <c r="J168">
        <v>0.11600000000000001</v>
      </c>
      <c r="K168">
        <v>19</v>
      </c>
      <c r="L168">
        <v>4.5</v>
      </c>
      <c r="M168">
        <v>0</v>
      </c>
      <c r="N168">
        <v>732667.92</v>
      </c>
      <c r="O168">
        <v>128654.46</v>
      </c>
      <c r="P168">
        <f t="shared" si="17"/>
        <v>0</v>
      </c>
      <c r="Q168">
        <f t="shared" si="18"/>
        <v>0</v>
      </c>
      <c r="R168">
        <f t="shared" si="19"/>
        <v>1</v>
      </c>
      <c r="S168">
        <f t="shared" si="20"/>
        <v>0</v>
      </c>
      <c r="T168">
        <f t="shared" si="21"/>
        <v>1</v>
      </c>
      <c r="U168">
        <f t="shared" si="22"/>
        <v>733943.73113992042</v>
      </c>
      <c r="V168">
        <f t="shared" si="23"/>
        <v>-1275.8111399203772</v>
      </c>
    </row>
    <row r="169" spans="1:22">
      <c r="A169" t="s">
        <v>34</v>
      </c>
      <c r="B169" s="3">
        <v>45689</v>
      </c>
      <c r="C169" t="s">
        <v>20</v>
      </c>
      <c r="D169" t="s">
        <v>28</v>
      </c>
      <c r="E169">
        <v>49710.29</v>
      </c>
      <c r="F169">
        <v>5559</v>
      </c>
      <c r="G169">
        <v>71</v>
      </c>
      <c r="H169">
        <v>4.5999999999999996</v>
      </c>
      <c r="I169">
        <f t="shared" si="16"/>
        <v>1</v>
      </c>
      <c r="J169">
        <v>0.218</v>
      </c>
      <c r="K169">
        <v>14</v>
      </c>
      <c r="L169">
        <v>9.11</v>
      </c>
      <c r="M169">
        <v>0</v>
      </c>
      <c r="N169">
        <v>603297.56999999995</v>
      </c>
      <c r="O169">
        <v>60592.26</v>
      </c>
      <c r="P169">
        <f t="shared" si="17"/>
        <v>1</v>
      </c>
      <c r="Q169">
        <f t="shared" si="18"/>
        <v>0</v>
      </c>
      <c r="R169">
        <f t="shared" si="19"/>
        <v>0</v>
      </c>
      <c r="S169">
        <f t="shared" si="20"/>
        <v>0</v>
      </c>
      <c r="T169">
        <f t="shared" si="21"/>
        <v>0</v>
      </c>
      <c r="U169">
        <f t="shared" si="22"/>
        <v>605021.81270832219</v>
      </c>
      <c r="V169">
        <f t="shared" si="23"/>
        <v>-1724.2427083222428</v>
      </c>
    </row>
    <row r="170" spans="1:22">
      <c r="A170" t="s">
        <v>53</v>
      </c>
      <c r="B170" s="3">
        <v>45748</v>
      </c>
      <c r="C170" t="s">
        <v>24</v>
      </c>
      <c r="D170" t="s">
        <v>18</v>
      </c>
      <c r="E170">
        <v>37828.5</v>
      </c>
      <c r="F170">
        <v>8221</v>
      </c>
      <c r="G170">
        <v>81.5</v>
      </c>
      <c r="H170">
        <v>4.8</v>
      </c>
      <c r="I170">
        <f t="shared" si="16"/>
        <v>0</v>
      </c>
      <c r="J170">
        <v>9.6000000000000002E-2</v>
      </c>
      <c r="K170">
        <v>19</v>
      </c>
      <c r="L170">
        <v>3.19</v>
      </c>
      <c r="M170">
        <v>0</v>
      </c>
      <c r="N170">
        <v>697155.3</v>
      </c>
      <c r="O170">
        <v>136408.54</v>
      </c>
      <c r="P170">
        <f t="shared" si="17"/>
        <v>0</v>
      </c>
      <c r="Q170">
        <f t="shared" si="18"/>
        <v>1</v>
      </c>
      <c r="R170">
        <f t="shared" si="19"/>
        <v>0</v>
      </c>
      <c r="S170">
        <f t="shared" si="20"/>
        <v>0</v>
      </c>
      <c r="T170">
        <f t="shared" si="21"/>
        <v>1</v>
      </c>
      <c r="U170">
        <f t="shared" si="22"/>
        <v>699455.1635715795</v>
      </c>
      <c r="V170">
        <f t="shared" si="23"/>
        <v>-2299.8635715794517</v>
      </c>
    </row>
    <row r="171" spans="1:22">
      <c r="A171" t="s">
        <v>19</v>
      </c>
      <c r="B171" s="3">
        <v>45689</v>
      </c>
      <c r="C171" t="s">
        <v>20</v>
      </c>
      <c r="D171" t="s">
        <v>21</v>
      </c>
      <c r="E171">
        <v>68133.440000000002</v>
      </c>
      <c r="F171">
        <v>9459</v>
      </c>
      <c r="G171">
        <v>85</v>
      </c>
      <c r="H171">
        <v>4.2</v>
      </c>
      <c r="I171">
        <f t="shared" si="16"/>
        <v>0</v>
      </c>
      <c r="J171">
        <v>0.22</v>
      </c>
      <c r="K171">
        <v>21</v>
      </c>
      <c r="L171">
        <v>1.91</v>
      </c>
      <c r="M171">
        <v>0</v>
      </c>
      <c r="N171">
        <v>779010.94</v>
      </c>
      <c r="O171">
        <v>106328.09</v>
      </c>
      <c r="P171">
        <f t="shared" si="17"/>
        <v>1</v>
      </c>
      <c r="Q171">
        <f t="shared" si="18"/>
        <v>0</v>
      </c>
      <c r="R171">
        <f t="shared" si="19"/>
        <v>0</v>
      </c>
      <c r="S171">
        <f t="shared" si="20"/>
        <v>1</v>
      </c>
      <c r="T171">
        <f t="shared" si="21"/>
        <v>0</v>
      </c>
      <c r="U171">
        <f t="shared" si="22"/>
        <v>781554.27200173133</v>
      </c>
      <c r="V171">
        <f t="shared" si="23"/>
        <v>-2543.3320017313818</v>
      </c>
    </row>
    <row r="172" spans="1:22">
      <c r="A172" t="s">
        <v>84</v>
      </c>
      <c r="B172" s="3">
        <v>45689</v>
      </c>
      <c r="C172" t="s">
        <v>20</v>
      </c>
      <c r="D172" t="s">
        <v>18</v>
      </c>
      <c r="E172">
        <v>72932.55</v>
      </c>
      <c r="F172">
        <v>5765</v>
      </c>
      <c r="G172">
        <v>81.8</v>
      </c>
      <c r="H172">
        <v>3.6</v>
      </c>
      <c r="I172">
        <f t="shared" si="16"/>
        <v>0</v>
      </c>
      <c r="J172">
        <v>2.5999999999999999E-2</v>
      </c>
      <c r="K172">
        <v>17</v>
      </c>
      <c r="L172">
        <v>5.0999999999999996</v>
      </c>
      <c r="M172">
        <v>0</v>
      </c>
      <c r="N172">
        <v>642751.42000000004</v>
      </c>
      <c r="O172">
        <v>131942.15</v>
      </c>
      <c r="P172">
        <f t="shared" si="17"/>
        <v>1</v>
      </c>
      <c r="Q172">
        <f t="shared" si="18"/>
        <v>0</v>
      </c>
      <c r="R172">
        <f t="shared" si="19"/>
        <v>0</v>
      </c>
      <c r="S172">
        <f t="shared" si="20"/>
        <v>0</v>
      </c>
      <c r="T172">
        <f t="shared" si="21"/>
        <v>1</v>
      </c>
      <c r="U172">
        <f t="shared" si="22"/>
        <v>646674.43739669677</v>
      </c>
      <c r="V172">
        <f t="shared" si="23"/>
        <v>-3923.0173966967268</v>
      </c>
    </row>
    <row r="173" spans="1:22">
      <c r="A173" t="s">
        <v>30</v>
      </c>
      <c r="B173" s="3">
        <v>45717</v>
      </c>
      <c r="C173" t="s">
        <v>20</v>
      </c>
      <c r="D173" t="s">
        <v>16</v>
      </c>
      <c r="E173">
        <v>74413.88</v>
      </c>
      <c r="F173">
        <v>9449</v>
      </c>
      <c r="G173">
        <v>92.1</v>
      </c>
      <c r="H173">
        <v>3.5</v>
      </c>
      <c r="I173">
        <f t="shared" si="16"/>
        <v>0</v>
      </c>
      <c r="J173">
        <v>3.9E-2</v>
      </c>
      <c r="K173">
        <v>23</v>
      </c>
      <c r="L173">
        <v>2.12</v>
      </c>
      <c r="M173">
        <v>0</v>
      </c>
      <c r="N173">
        <v>798952.17</v>
      </c>
      <c r="O173">
        <v>161499.04</v>
      </c>
      <c r="P173">
        <f t="shared" si="17"/>
        <v>1</v>
      </c>
      <c r="Q173">
        <f t="shared" si="18"/>
        <v>0</v>
      </c>
      <c r="R173">
        <f t="shared" si="19"/>
        <v>0</v>
      </c>
      <c r="S173">
        <f t="shared" si="20"/>
        <v>0</v>
      </c>
      <c r="T173">
        <f t="shared" si="21"/>
        <v>0</v>
      </c>
      <c r="U173">
        <f t="shared" si="22"/>
        <v>802956.69522930146</v>
      </c>
      <c r="V173">
        <f t="shared" si="23"/>
        <v>-4004.52522930142</v>
      </c>
    </row>
    <row r="174" spans="1:22">
      <c r="A174" t="s">
        <v>36</v>
      </c>
      <c r="B174" s="3">
        <v>45689</v>
      </c>
      <c r="C174" t="s">
        <v>15</v>
      </c>
      <c r="D174" t="s">
        <v>21</v>
      </c>
      <c r="E174">
        <v>59405.68</v>
      </c>
      <c r="F174">
        <v>2515</v>
      </c>
      <c r="G174">
        <v>76</v>
      </c>
      <c r="H174">
        <v>3.7</v>
      </c>
      <c r="I174">
        <f t="shared" si="16"/>
        <v>0</v>
      </c>
      <c r="J174">
        <v>3.9E-2</v>
      </c>
      <c r="K174">
        <v>12</v>
      </c>
      <c r="L174">
        <v>5.1100000000000003</v>
      </c>
      <c r="M174">
        <v>0</v>
      </c>
      <c r="N174">
        <v>500298.48</v>
      </c>
      <c r="O174">
        <v>73461.320000000007</v>
      </c>
      <c r="P174">
        <f t="shared" si="17"/>
        <v>0</v>
      </c>
      <c r="Q174">
        <f t="shared" si="18"/>
        <v>0</v>
      </c>
      <c r="R174">
        <f t="shared" si="19"/>
        <v>1</v>
      </c>
      <c r="S174">
        <f t="shared" si="20"/>
        <v>1</v>
      </c>
      <c r="T174">
        <f t="shared" si="21"/>
        <v>0</v>
      </c>
      <c r="U174">
        <f t="shared" si="22"/>
        <v>504417.93028212816</v>
      </c>
      <c r="V174">
        <f t="shared" si="23"/>
        <v>-4119.4502821281785</v>
      </c>
    </row>
    <row r="175" spans="1:22">
      <c r="A175" t="s">
        <v>86</v>
      </c>
      <c r="B175" s="3">
        <v>45717</v>
      </c>
      <c r="C175" t="s">
        <v>24</v>
      </c>
      <c r="D175" t="s">
        <v>28</v>
      </c>
      <c r="E175">
        <v>44189.34</v>
      </c>
      <c r="F175">
        <v>8634</v>
      </c>
      <c r="G175">
        <v>87.5</v>
      </c>
      <c r="H175">
        <v>4.4000000000000004</v>
      </c>
      <c r="I175">
        <f t="shared" si="16"/>
        <v>1</v>
      </c>
      <c r="J175">
        <v>0.14299999999999999</v>
      </c>
      <c r="K175">
        <v>19</v>
      </c>
      <c r="L175">
        <v>3.69</v>
      </c>
      <c r="M175">
        <v>0</v>
      </c>
      <c r="N175">
        <v>746115.59</v>
      </c>
      <c r="O175">
        <v>94662.96</v>
      </c>
      <c r="P175">
        <f t="shared" si="17"/>
        <v>0</v>
      </c>
      <c r="Q175">
        <f t="shared" si="18"/>
        <v>1</v>
      </c>
      <c r="R175">
        <f t="shared" si="19"/>
        <v>0</v>
      </c>
      <c r="S175">
        <f t="shared" si="20"/>
        <v>0</v>
      </c>
      <c r="T175">
        <f t="shared" si="21"/>
        <v>0</v>
      </c>
      <c r="U175">
        <f t="shared" si="22"/>
        <v>750260.35549001454</v>
      </c>
      <c r="V175">
        <f t="shared" si="23"/>
        <v>-4144.7654900145717</v>
      </c>
    </row>
    <row r="176" spans="1:22">
      <c r="A176" t="s">
        <v>40</v>
      </c>
      <c r="B176" s="3">
        <v>45658</v>
      </c>
      <c r="C176" t="s">
        <v>15</v>
      </c>
      <c r="D176" t="s">
        <v>16</v>
      </c>
      <c r="E176">
        <v>46201.46</v>
      </c>
      <c r="F176">
        <v>5918</v>
      </c>
      <c r="G176">
        <v>78.8</v>
      </c>
      <c r="H176">
        <v>4.5</v>
      </c>
      <c r="I176">
        <f t="shared" si="16"/>
        <v>0</v>
      </c>
      <c r="J176">
        <v>0.27700000000000002</v>
      </c>
      <c r="K176">
        <v>13</v>
      </c>
      <c r="L176">
        <v>4.91</v>
      </c>
      <c r="M176">
        <v>0</v>
      </c>
      <c r="N176">
        <v>616069.41</v>
      </c>
      <c r="O176">
        <v>54453.99</v>
      </c>
      <c r="P176">
        <f t="shared" si="17"/>
        <v>0</v>
      </c>
      <c r="Q176">
        <f t="shared" si="18"/>
        <v>0</v>
      </c>
      <c r="R176">
        <f t="shared" si="19"/>
        <v>1</v>
      </c>
      <c r="S176">
        <f t="shared" si="20"/>
        <v>0</v>
      </c>
      <c r="T176">
        <f t="shared" si="21"/>
        <v>0</v>
      </c>
      <c r="U176">
        <f t="shared" si="22"/>
        <v>620378.54201492504</v>
      </c>
      <c r="V176">
        <f t="shared" si="23"/>
        <v>-4309.1320149250096</v>
      </c>
    </row>
    <row r="177" spans="1:22">
      <c r="A177" t="s">
        <v>70</v>
      </c>
      <c r="B177" s="3">
        <v>45689</v>
      </c>
      <c r="C177" t="s">
        <v>27</v>
      </c>
      <c r="D177" t="s">
        <v>16</v>
      </c>
      <c r="E177">
        <v>51133.43</v>
      </c>
      <c r="F177">
        <v>5150</v>
      </c>
      <c r="G177">
        <v>88.5</v>
      </c>
      <c r="H177">
        <v>3.2</v>
      </c>
      <c r="I177">
        <f t="shared" si="16"/>
        <v>0</v>
      </c>
      <c r="J177">
        <v>0.15</v>
      </c>
      <c r="K177">
        <v>12</v>
      </c>
      <c r="L177">
        <v>1.54</v>
      </c>
      <c r="M177">
        <v>0</v>
      </c>
      <c r="N177">
        <v>611924.27</v>
      </c>
      <c r="O177">
        <v>115488.75</v>
      </c>
      <c r="P177">
        <f t="shared" si="17"/>
        <v>0</v>
      </c>
      <c r="Q177">
        <f t="shared" si="18"/>
        <v>0</v>
      </c>
      <c r="R177">
        <f t="shared" si="19"/>
        <v>0</v>
      </c>
      <c r="S177">
        <f t="shared" si="20"/>
        <v>0</v>
      </c>
      <c r="T177">
        <f t="shared" si="21"/>
        <v>0</v>
      </c>
      <c r="U177">
        <f t="shared" si="22"/>
        <v>616265.4707367674</v>
      </c>
      <c r="V177">
        <f t="shared" si="23"/>
        <v>-4341.2007367673796</v>
      </c>
    </row>
    <row r="178" spans="1:22">
      <c r="A178" t="s">
        <v>43</v>
      </c>
      <c r="B178" s="3">
        <v>45748</v>
      </c>
      <c r="C178" t="s">
        <v>27</v>
      </c>
      <c r="D178" t="s">
        <v>18</v>
      </c>
      <c r="E178">
        <v>18996.32</v>
      </c>
      <c r="F178">
        <v>1260</v>
      </c>
      <c r="G178">
        <v>86.4</v>
      </c>
      <c r="H178">
        <v>4.5999999999999996</v>
      </c>
      <c r="I178">
        <f t="shared" si="16"/>
        <v>0</v>
      </c>
      <c r="J178">
        <v>0.14499999999999999</v>
      </c>
      <c r="K178">
        <v>9</v>
      </c>
      <c r="L178">
        <v>4.3099999999999996</v>
      </c>
      <c r="M178">
        <v>0</v>
      </c>
      <c r="N178">
        <v>450711.92</v>
      </c>
      <c r="O178">
        <v>90043.76</v>
      </c>
      <c r="P178">
        <f t="shared" si="17"/>
        <v>0</v>
      </c>
      <c r="Q178">
        <f t="shared" si="18"/>
        <v>0</v>
      </c>
      <c r="R178">
        <f t="shared" si="19"/>
        <v>0</v>
      </c>
      <c r="S178">
        <f t="shared" si="20"/>
        <v>0</v>
      </c>
      <c r="T178">
        <f t="shared" si="21"/>
        <v>1</v>
      </c>
      <c r="U178">
        <f t="shared" si="22"/>
        <v>455137.53717169585</v>
      </c>
      <c r="V178">
        <f t="shared" si="23"/>
        <v>-4425.6171716958634</v>
      </c>
    </row>
    <row r="179" spans="1:22">
      <c r="A179" t="s">
        <v>25</v>
      </c>
      <c r="B179" s="3">
        <v>45748</v>
      </c>
      <c r="C179" t="s">
        <v>20</v>
      </c>
      <c r="D179" t="s">
        <v>16</v>
      </c>
      <c r="E179">
        <v>62060.43</v>
      </c>
      <c r="F179">
        <v>2613</v>
      </c>
      <c r="G179">
        <v>92.1</v>
      </c>
      <c r="H179">
        <v>4.7</v>
      </c>
      <c r="I179">
        <f t="shared" si="16"/>
        <v>0</v>
      </c>
      <c r="J179">
        <v>0.216</v>
      </c>
      <c r="K179">
        <v>12</v>
      </c>
      <c r="L179">
        <v>1.55</v>
      </c>
      <c r="M179">
        <v>0</v>
      </c>
      <c r="N179">
        <v>565810.99</v>
      </c>
      <c r="O179">
        <v>77825.460000000006</v>
      </c>
      <c r="P179">
        <f t="shared" si="17"/>
        <v>1</v>
      </c>
      <c r="Q179">
        <f t="shared" si="18"/>
        <v>0</v>
      </c>
      <c r="R179">
        <f t="shared" si="19"/>
        <v>0</v>
      </c>
      <c r="S179">
        <f t="shared" si="20"/>
        <v>0</v>
      </c>
      <c r="T179">
        <f t="shared" si="21"/>
        <v>0</v>
      </c>
      <c r="U179">
        <f t="shared" si="22"/>
        <v>570236.98965436639</v>
      </c>
      <c r="V179">
        <f t="shared" si="23"/>
        <v>-4425.999654366402</v>
      </c>
    </row>
    <row r="180" spans="1:22">
      <c r="A180" t="s">
        <v>54</v>
      </c>
      <c r="B180" s="3">
        <v>45689</v>
      </c>
      <c r="C180" t="s">
        <v>15</v>
      </c>
      <c r="D180" t="s">
        <v>18</v>
      </c>
      <c r="E180">
        <v>68410.929999999993</v>
      </c>
      <c r="F180">
        <v>10596</v>
      </c>
      <c r="G180">
        <v>81.2</v>
      </c>
      <c r="H180">
        <v>4</v>
      </c>
      <c r="I180">
        <f t="shared" si="16"/>
        <v>0</v>
      </c>
      <c r="J180">
        <v>0.20699999999999999</v>
      </c>
      <c r="K180">
        <v>25</v>
      </c>
      <c r="L180">
        <v>0.21</v>
      </c>
      <c r="M180">
        <v>0</v>
      </c>
      <c r="N180">
        <v>801830.35</v>
      </c>
      <c r="O180">
        <v>114875.32</v>
      </c>
      <c r="P180">
        <f t="shared" si="17"/>
        <v>0</v>
      </c>
      <c r="Q180">
        <f t="shared" si="18"/>
        <v>0</v>
      </c>
      <c r="R180">
        <f t="shared" si="19"/>
        <v>1</v>
      </c>
      <c r="S180">
        <f t="shared" si="20"/>
        <v>0</v>
      </c>
      <c r="T180">
        <f t="shared" si="21"/>
        <v>1</v>
      </c>
      <c r="U180">
        <f t="shared" si="22"/>
        <v>806596.98723185994</v>
      </c>
      <c r="V180">
        <f t="shared" si="23"/>
        <v>-4766.6372318599606</v>
      </c>
    </row>
    <row r="181" spans="1:22">
      <c r="A181" t="s">
        <v>58</v>
      </c>
      <c r="B181" s="3">
        <v>45717</v>
      </c>
      <c r="C181" t="s">
        <v>20</v>
      </c>
      <c r="D181" t="s">
        <v>16</v>
      </c>
      <c r="E181">
        <v>53351.7</v>
      </c>
      <c r="F181">
        <v>4259</v>
      </c>
      <c r="G181">
        <v>93.7</v>
      </c>
      <c r="H181">
        <v>3.4</v>
      </c>
      <c r="I181">
        <f t="shared" si="16"/>
        <v>0</v>
      </c>
      <c r="J181">
        <v>0.156</v>
      </c>
      <c r="K181">
        <v>15</v>
      </c>
      <c r="L181">
        <v>6.03</v>
      </c>
      <c r="M181">
        <v>0</v>
      </c>
      <c r="N181">
        <v>601568.87</v>
      </c>
      <c r="O181">
        <v>91634.82</v>
      </c>
      <c r="P181">
        <f t="shared" si="17"/>
        <v>1</v>
      </c>
      <c r="Q181">
        <f t="shared" si="18"/>
        <v>0</v>
      </c>
      <c r="R181">
        <f t="shared" si="19"/>
        <v>0</v>
      </c>
      <c r="S181">
        <f t="shared" si="20"/>
        <v>0</v>
      </c>
      <c r="T181">
        <f t="shared" si="21"/>
        <v>0</v>
      </c>
      <c r="U181">
        <f t="shared" si="22"/>
        <v>606737.01893735805</v>
      </c>
      <c r="V181">
        <f t="shared" si="23"/>
        <v>-5168.1489373580553</v>
      </c>
    </row>
    <row r="182" spans="1:22">
      <c r="A182" t="s">
        <v>31</v>
      </c>
      <c r="B182" s="3">
        <v>45748</v>
      </c>
      <c r="C182" t="s">
        <v>20</v>
      </c>
      <c r="D182" t="s">
        <v>28</v>
      </c>
      <c r="E182">
        <v>65012.19</v>
      </c>
      <c r="F182">
        <v>9598</v>
      </c>
      <c r="G182">
        <v>98.3</v>
      </c>
      <c r="H182">
        <v>3.8</v>
      </c>
      <c r="I182">
        <f t="shared" si="16"/>
        <v>1</v>
      </c>
      <c r="J182">
        <v>8.5000000000000006E-2</v>
      </c>
      <c r="K182">
        <v>24</v>
      </c>
      <c r="L182">
        <v>0.89</v>
      </c>
      <c r="M182">
        <v>0</v>
      </c>
      <c r="N182">
        <v>828623.85</v>
      </c>
      <c r="O182">
        <v>167320.51999999999</v>
      </c>
      <c r="P182">
        <f t="shared" si="17"/>
        <v>1</v>
      </c>
      <c r="Q182">
        <f t="shared" si="18"/>
        <v>0</v>
      </c>
      <c r="R182">
        <f t="shared" si="19"/>
        <v>0</v>
      </c>
      <c r="S182">
        <f t="shared" si="20"/>
        <v>0</v>
      </c>
      <c r="T182">
        <f t="shared" si="21"/>
        <v>0</v>
      </c>
      <c r="U182">
        <f t="shared" si="22"/>
        <v>834058.58421760751</v>
      </c>
      <c r="V182">
        <f t="shared" si="23"/>
        <v>-5434.7342176075326</v>
      </c>
    </row>
    <row r="183" spans="1:22">
      <c r="A183" t="s">
        <v>62</v>
      </c>
      <c r="B183" s="3">
        <v>45717</v>
      </c>
      <c r="C183" t="s">
        <v>24</v>
      </c>
      <c r="D183" t="s">
        <v>18</v>
      </c>
      <c r="E183">
        <v>57143.3</v>
      </c>
      <c r="F183">
        <v>8038</v>
      </c>
      <c r="G183">
        <v>72.599999999999994</v>
      </c>
      <c r="H183">
        <v>4.2</v>
      </c>
      <c r="I183">
        <f t="shared" si="16"/>
        <v>0</v>
      </c>
      <c r="J183">
        <v>0.193</v>
      </c>
      <c r="K183">
        <v>17</v>
      </c>
      <c r="L183" s="6">
        <v>4.5599999999999996</v>
      </c>
      <c r="M183">
        <v>0</v>
      </c>
      <c r="N183">
        <v>677096.71</v>
      </c>
      <c r="O183">
        <v>97174.11</v>
      </c>
      <c r="P183">
        <f t="shared" si="17"/>
        <v>0</v>
      </c>
      <c r="Q183">
        <f t="shared" si="18"/>
        <v>1</v>
      </c>
      <c r="R183">
        <f t="shared" si="19"/>
        <v>0</v>
      </c>
      <c r="S183">
        <f t="shared" si="20"/>
        <v>0</v>
      </c>
      <c r="T183">
        <f t="shared" si="21"/>
        <v>1</v>
      </c>
      <c r="U183">
        <f t="shared" si="22"/>
        <v>682891.70030185708</v>
      </c>
      <c r="V183">
        <f t="shared" si="23"/>
        <v>-5794.9903018571204</v>
      </c>
    </row>
    <row r="184" spans="1:22">
      <c r="A184" t="s">
        <v>51</v>
      </c>
      <c r="B184" s="3">
        <v>45658</v>
      </c>
      <c r="C184" t="s">
        <v>27</v>
      </c>
      <c r="D184" t="s">
        <v>16</v>
      </c>
      <c r="E184">
        <v>43685.14</v>
      </c>
      <c r="F184">
        <v>7821</v>
      </c>
      <c r="G184">
        <v>91</v>
      </c>
      <c r="H184">
        <v>4.7</v>
      </c>
      <c r="I184">
        <f t="shared" si="16"/>
        <v>0</v>
      </c>
      <c r="J184">
        <v>0.19</v>
      </c>
      <c r="K184">
        <v>17</v>
      </c>
      <c r="L184">
        <v>2.4900000000000002</v>
      </c>
      <c r="M184">
        <v>1</v>
      </c>
      <c r="N184">
        <v>714942.43</v>
      </c>
      <c r="O184">
        <v>94697.71</v>
      </c>
      <c r="P184">
        <f t="shared" si="17"/>
        <v>0</v>
      </c>
      <c r="Q184">
        <f t="shared" si="18"/>
        <v>0</v>
      </c>
      <c r="R184">
        <f t="shared" si="19"/>
        <v>0</v>
      </c>
      <c r="S184">
        <f t="shared" si="20"/>
        <v>0</v>
      </c>
      <c r="T184">
        <f t="shared" si="21"/>
        <v>0</v>
      </c>
      <c r="U184">
        <f t="shared" si="22"/>
        <v>720749.33771883918</v>
      </c>
      <c r="V184">
        <f t="shared" si="23"/>
        <v>-5806.9077188391238</v>
      </c>
    </row>
    <row r="185" spans="1:22">
      <c r="A185" t="s">
        <v>55</v>
      </c>
      <c r="B185" s="3">
        <v>45717</v>
      </c>
      <c r="C185" t="s">
        <v>20</v>
      </c>
      <c r="D185" t="s">
        <v>18</v>
      </c>
      <c r="E185">
        <v>52285.45</v>
      </c>
      <c r="F185">
        <v>3618</v>
      </c>
      <c r="G185">
        <v>95.6</v>
      </c>
      <c r="H185">
        <v>4.4000000000000004</v>
      </c>
      <c r="I185">
        <f t="shared" si="16"/>
        <v>0</v>
      </c>
      <c r="J185">
        <v>8.5999999999999993E-2</v>
      </c>
      <c r="K185">
        <v>11</v>
      </c>
      <c r="L185">
        <v>5.17</v>
      </c>
      <c r="M185">
        <v>1</v>
      </c>
      <c r="N185">
        <v>593247.25</v>
      </c>
      <c r="O185">
        <v>81240.289999999994</v>
      </c>
      <c r="P185">
        <f t="shared" si="17"/>
        <v>1</v>
      </c>
      <c r="Q185">
        <f t="shared" si="18"/>
        <v>0</v>
      </c>
      <c r="R185">
        <f t="shared" si="19"/>
        <v>0</v>
      </c>
      <c r="S185">
        <f t="shared" si="20"/>
        <v>0</v>
      </c>
      <c r="T185">
        <f t="shared" si="21"/>
        <v>1</v>
      </c>
      <c r="U185">
        <f t="shared" si="22"/>
        <v>600049.36328751908</v>
      </c>
      <c r="V185">
        <f t="shared" si="23"/>
        <v>-6802.1132875190815</v>
      </c>
    </row>
    <row r="186" spans="1:22">
      <c r="A186" t="s">
        <v>60</v>
      </c>
      <c r="B186" s="3">
        <v>45748</v>
      </c>
      <c r="C186" t="s">
        <v>15</v>
      </c>
      <c r="D186" t="s">
        <v>18</v>
      </c>
      <c r="E186">
        <v>42698.14</v>
      </c>
      <c r="F186">
        <v>7693</v>
      </c>
      <c r="G186">
        <v>90.1</v>
      </c>
      <c r="H186">
        <v>4.4000000000000004</v>
      </c>
      <c r="I186">
        <f t="shared" si="16"/>
        <v>0</v>
      </c>
      <c r="J186">
        <v>0.187</v>
      </c>
      <c r="K186">
        <v>19</v>
      </c>
      <c r="L186">
        <v>0.44</v>
      </c>
      <c r="M186">
        <v>0</v>
      </c>
      <c r="N186">
        <v>702318.94</v>
      </c>
      <c r="O186">
        <v>112829.29</v>
      </c>
      <c r="P186">
        <f t="shared" si="17"/>
        <v>0</v>
      </c>
      <c r="Q186">
        <f t="shared" si="18"/>
        <v>0</v>
      </c>
      <c r="R186">
        <f t="shared" si="19"/>
        <v>1</v>
      </c>
      <c r="S186">
        <f t="shared" si="20"/>
        <v>0</v>
      </c>
      <c r="T186">
        <f t="shared" si="21"/>
        <v>1</v>
      </c>
      <c r="U186">
        <f t="shared" si="22"/>
        <v>709398.61819677008</v>
      </c>
      <c r="V186">
        <f t="shared" si="23"/>
        <v>-7079.678196770139</v>
      </c>
    </row>
    <row r="187" spans="1:22">
      <c r="A187" t="s">
        <v>97</v>
      </c>
      <c r="B187" s="3">
        <v>45689</v>
      </c>
      <c r="C187" t="s">
        <v>20</v>
      </c>
      <c r="D187" t="s">
        <v>28</v>
      </c>
      <c r="E187">
        <v>63986.98</v>
      </c>
      <c r="F187">
        <v>7989</v>
      </c>
      <c r="G187">
        <v>83.3</v>
      </c>
      <c r="H187">
        <v>3.7</v>
      </c>
      <c r="I187">
        <f t="shared" si="16"/>
        <v>1</v>
      </c>
      <c r="J187">
        <v>7.3999999999999996E-2</v>
      </c>
      <c r="K187">
        <v>20</v>
      </c>
      <c r="L187">
        <v>3.6</v>
      </c>
      <c r="M187">
        <v>0</v>
      </c>
      <c r="N187">
        <v>724346.73</v>
      </c>
      <c r="O187">
        <v>155013.91</v>
      </c>
      <c r="P187">
        <f t="shared" si="17"/>
        <v>1</v>
      </c>
      <c r="Q187">
        <f t="shared" si="18"/>
        <v>0</v>
      </c>
      <c r="R187">
        <f t="shared" si="19"/>
        <v>0</v>
      </c>
      <c r="S187">
        <f t="shared" si="20"/>
        <v>0</v>
      </c>
      <c r="T187">
        <f t="shared" si="21"/>
        <v>0</v>
      </c>
      <c r="U187">
        <f t="shared" si="22"/>
        <v>731932.47779719112</v>
      </c>
      <c r="V187">
        <f t="shared" si="23"/>
        <v>-7585.747797191143</v>
      </c>
    </row>
    <row r="188" spans="1:22">
      <c r="A188" t="s">
        <v>93</v>
      </c>
      <c r="B188" s="3">
        <v>45689</v>
      </c>
      <c r="C188" t="s">
        <v>27</v>
      </c>
      <c r="D188" t="s">
        <v>16</v>
      </c>
      <c r="E188">
        <v>74539.14</v>
      </c>
      <c r="F188">
        <v>4487</v>
      </c>
      <c r="G188">
        <v>90.4</v>
      </c>
      <c r="H188">
        <v>4.5</v>
      </c>
      <c r="I188">
        <f t="shared" si="16"/>
        <v>0</v>
      </c>
      <c r="J188">
        <v>0.14000000000000001</v>
      </c>
      <c r="K188">
        <v>10</v>
      </c>
      <c r="L188">
        <v>0.59</v>
      </c>
      <c r="M188">
        <v>0</v>
      </c>
      <c r="N188">
        <v>633009.53</v>
      </c>
      <c r="O188">
        <v>123782.67</v>
      </c>
      <c r="P188">
        <f t="shared" si="17"/>
        <v>0</v>
      </c>
      <c r="Q188">
        <f t="shared" si="18"/>
        <v>0</v>
      </c>
      <c r="R188">
        <f t="shared" si="19"/>
        <v>0</v>
      </c>
      <c r="S188">
        <f t="shared" si="20"/>
        <v>0</v>
      </c>
      <c r="T188">
        <f t="shared" si="21"/>
        <v>0</v>
      </c>
      <c r="U188">
        <f t="shared" si="22"/>
        <v>640998.05628503719</v>
      </c>
      <c r="V188">
        <f t="shared" si="23"/>
        <v>-7988.5262850371655</v>
      </c>
    </row>
    <row r="189" spans="1:22">
      <c r="A189" t="s">
        <v>83</v>
      </c>
      <c r="B189" s="3">
        <v>45748</v>
      </c>
      <c r="C189" t="s">
        <v>15</v>
      </c>
      <c r="D189" t="s">
        <v>18</v>
      </c>
      <c r="E189">
        <v>21536.18</v>
      </c>
      <c r="F189">
        <v>8119</v>
      </c>
      <c r="G189">
        <v>90.4</v>
      </c>
      <c r="H189">
        <v>3.3</v>
      </c>
      <c r="I189">
        <f t="shared" si="16"/>
        <v>0</v>
      </c>
      <c r="J189">
        <v>0.22700000000000001</v>
      </c>
      <c r="K189">
        <v>20</v>
      </c>
      <c r="L189">
        <v>1.7</v>
      </c>
      <c r="M189">
        <v>0</v>
      </c>
      <c r="N189">
        <v>679888.74</v>
      </c>
      <c r="O189">
        <v>83406.89</v>
      </c>
      <c r="P189">
        <f t="shared" si="17"/>
        <v>0</v>
      </c>
      <c r="Q189">
        <f t="shared" si="18"/>
        <v>0</v>
      </c>
      <c r="R189">
        <f t="shared" si="19"/>
        <v>1</v>
      </c>
      <c r="S189">
        <f t="shared" si="20"/>
        <v>0</v>
      </c>
      <c r="T189">
        <f t="shared" si="21"/>
        <v>1</v>
      </c>
      <c r="U189">
        <f t="shared" si="22"/>
        <v>688106.63502593164</v>
      </c>
      <c r="V189">
        <f t="shared" si="23"/>
        <v>-8217.895025931648</v>
      </c>
    </row>
    <row r="190" spans="1:22">
      <c r="A190" t="s">
        <v>53</v>
      </c>
      <c r="B190" s="3">
        <v>45689</v>
      </c>
      <c r="C190" t="s">
        <v>24</v>
      </c>
      <c r="D190" t="s">
        <v>18</v>
      </c>
      <c r="E190">
        <v>44747</v>
      </c>
      <c r="F190">
        <v>11076</v>
      </c>
      <c r="G190">
        <v>98.3</v>
      </c>
      <c r="H190">
        <v>4.4000000000000004</v>
      </c>
      <c r="I190">
        <f t="shared" si="16"/>
        <v>0</v>
      </c>
      <c r="J190">
        <v>0.17599999999999999</v>
      </c>
      <c r="K190">
        <v>27</v>
      </c>
      <c r="L190">
        <v>0.54</v>
      </c>
      <c r="M190">
        <v>0</v>
      </c>
      <c r="N190">
        <v>842439.67</v>
      </c>
      <c r="O190">
        <v>169983.63</v>
      </c>
      <c r="P190">
        <f t="shared" si="17"/>
        <v>0</v>
      </c>
      <c r="Q190">
        <f t="shared" si="18"/>
        <v>1</v>
      </c>
      <c r="R190">
        <f t="shared" si="19"/>
        <v>0</v>
      </c>
      <c r="S190">
        <f t="shared" si="20"/>
        <v>0</v>
      </c>
      <c r="T190">
        <f t="shared" si="21"/>
        <v>1</v>
      </c>
      <c r="U190">
        <f t="shared" si="22"/>
        <v>850860.35569278896</v>
      </c>
      <c r="V190">
        <f t="shared" si="23"/>
        <v>-8420.6856927889166</v>
      </c>
    </row>
    <row r="191" spans="1:22">
      <c r="A191" t="s">
        <v>32</v>
      </c>
      <c r="B191" s="3">
        <v>45658</v>
      </c>
      <c r="C191" t="s">
        <v>15</v>
      </c>
      <c r="D191" t="s">
        <v>28</v>
      </c>
      <c r="E191">
        <v>40462.94</v>
      </c>
      <c r="F191">
        <v>3660</v>
      </c>
      <c r="G191">
        <v>95.2</v>
      </c>
      <c r="H191">
        <v>4.4000000000000004</v>
      </c>
      <c r="I191">
        <f t="shared" si="16"/>
        <v>1</v>
      </c>
      <c r="J191">
        <v>0.218</v>
      </c>
      <c r="K191">
        <v>11</v>
      </c>
      <c r="L191">
        <v>5.57</v>
      </c>
      <c r="M191">
        <v>0</v>
      </c>
      <c r="N191">
        <v>592195.85</v>
      </c>
      <c r="O191">
        <v>92291.56</v>
      </c>
      <c r="P191">
        <f t="shared" si="17"/>
        <v>0</v>
      </c>
      <c r="Q191">
        <f t="shared" si="18"/>
        <v>0</v>
      </c>
      <c r="R191">
        <f t="shared" si="19"/>
        <v>1</v>
      </c>
      <c r="S191">
        <f t="shared" si="20"/>
        <v>0</v>
      </c>
      <c r="T191">
        <f t="shared" si="21"/>
        <v>0</v>
      </c>
      <c r="U191">
        <f t="shared" si="22"/>
        <v>601480.27013169776</v>
      </c>
      <c r="V191">
        <f t="shared" si="23"/>
        <v>-9284.4201316977851</v>
      </c>
    </row>
    <row r="192" spans="1:22">
      <c r="A192" t="s">
        <v>81</v>
      </c>
      <c r="B192" s="3">
        <v>45717</v>
      </c>
      <c r="C192" t="s">
        <v>27</v>
      </c>
      <c r="D192" t="s">
        <v>28</v>
      </c>
      <c r="E192">
        <v>59060.05</v>
      </c>
      <c r="F192">
        <v>9702</v>
      </c>
      <c r="G192">
        <v>80.900000000000006</v>
      </c>
      <c r="H192">
        <v>3.2</v>
      </c>
      <c r="I192">
        <f t="shared" si="16"/>
        <v>1</v>
      </c>
      <c r="J192">
        <v>0.20100000000000001</v>
      </c>
      <c r="K192">
        <v>23</v>
      </c>
      <c r="L192">
        <v>6.96</v>
      </c>
      <c r="M192">
        <v>0</v>
      </c>
      <c r="N192">
        <v>761919.25</v>
      </c>
      <c r="O192">
        <v>111893.06</v>
      </c>
      <c r="P192">
        <f t="shared" si="17"/>
        <v>0</v>
      </c>
      <c r="Q192">
        <f t="shared" si="18"/>
        <v>0</v>
      </c>
      <c r="R192">
        <f t="shared" si="19"/>
        <v>0</v>
      </c>
      <c r="S192">
        <f t="shared" si="20"/>
        <v>0</v>
      </c>
      <c r="T192">
        <f t="shared" si="21"/>
        <v>0</v>
      </c>
      <c r="U192">
        <f t="shared" si="22"/>
        <v>771357.18454718939</v>
      </c>
      <c r="V192">
        <f t="shared" si="23"/>
        <v>-9437.9345471893903</v>
      </c>
    </row>
    <row r="193" spans="1:22">
      <c r="A193" t="s">
        <v>99</v>
      </c>
      <c r="B193" s="3">
        <v>45717</v>
      </c>
      <c r="C193" t="s">
        <v>24</v>
      </c>
      <c r="D193" t="s">
        <v>18</v>
      </c>
      <c r="E193">
        <v>54322.94</v>
      </c>
      <c r="F193">
        <v>5434</v>
      </c>
      <c r="G193">
        <v>85.7</v>
      </c>
      <c r="H193">
        <v>4.2</v>
      </c>
      <c r="I193">
        <f t="shared" si="16"/>
        <v>0</v>
      </c>
      <c r="J193">
        <v>0.2</v>
      </c>
      <c r="K193">
        <v>13</v>
      </c>
      <c r="L193">
        <v>10.6</v>
      </c>
      <c r="M193">
        <v>0</v>
      </c>
      <c r="N193">
        <v>621677.30000000005</v>
      </c>
      <c r="O193">
        <v>105192.52</v>
      </c>
      <c r="P193">
        <f t="shared" si="17"/>
        <v>0</v>
      </c>
      <c r="Q193">
        <f t="shared" si="18"/>
        <v>1</v>
      </c>
      <c r="R193">
        <f t="shared" si="19"/>
        <v>0</v>
      </c>
      <c r="S193">
        <f t="shared" si="20"/>
        <v>0</v>
      </c>
      <c r="T193">
        <f t="shared" si="21"/>
        <v>1</v>
      </c>
      <c r="U193">
        <f t="shared" si="22"/>
        <v>631538.69472431776</v>
      </c>
      <c r="V193">
        <f t="shared" si="23"/>
        <v>-9861.3947243177099</v>
      </c>
    </row>
    <row r="194" spans="1:22">
      <c r="A194" t="s">
        <v>99</v>
      </c>
      <c r="B194" s="3">
        <v>45658</v>
      </c>
      <c r="C194" t="s">
        <v>24</v>
      </c>
      <c r="D194" t="s">
        <v>18</v>
      </c>
      <c r="E194">
        <v>48465.599999999999</v>
      </c>
      <c r="F194">
        <v>5759</v>
      </c>
      <c r="G194">
        <v>87.5</v>
      </c>
      <c r="H194">
        <v>4</v>
      </c>
      <c r="I194">
        <f t="shared" ref="I194:I257" si="24">IF(D194="Mall",1,0)</f>
        <v>0</v>
      </c>
      <c r="J194">
        <v>0.154</v>
      </c>
      <c r="K194">
        <v>13</v>
      </c>
      <c r="L194">
        <v>4.1399999999999997</v>
      </c>
      <c r="M194">
        <v>0</v>
      </c>
      <c r="N194">
        <v>628538.30000000005</v>
      </c>
      <c r="O194">
        <v>112509.15</v>
      </c>
      <c r="P194">
        <f t="shared" ref="P194:P257" si="25">IF(C194="North",1,0)</f>
        <v>0</v>
      </c>
      <c r="Q194">
        <f t="shared" ref="Q194:Q257" si="26">IF(C194="South",1,0)</f>
        <v>1</v>
      </c>
      <c r="R194">
        <f t="shared" ref="R194:R257" si="27">IF(C194="East",1,0)</f>
        <v>0</v>
      </c>
      <c r="S194">
        <f t="shared" ref="S194:S257" si="28">IF(D194="Airport",1,0)</f>
        <v>0</v>
      </c>
      <c r="T194">
        <f t="shared" ref="T194:T257" si="29">IF(D194="High Street",1,0)</f>
        <v>1</v>
      </c>
      <c r="U194">
        <f t="shared" ref="U194:U257" si="30">79514.81031
+(1.186491387*E194)
+(33.72856095*F194)
+(3039.885495*G194)
+(10421.66592*H194)
+(15257.56777*I194)</f>
        <v>638938.25427933712</v>
      </c>
      <c r="V194">
        <f t="shared" ref="V194:V257" si="31">N194-U194</f>
        <v>-10399.954279337078</v>
      </c>
    </row>
    <row r="195" spans="1:22">
      <c r="A195" t="s">
        <v>75</v>
      </c>
      <c r="B195" s="3">
        <v>45717</v>
      </c>
      <c r="C195" t="s">
        <v>27</v>
      </c>
      <c r="D195" t="s">
        <v>16</v>
      </c>
      <c r="E195">
        <v>35296.54</v>
      </c>
      <c r="F195">
        <v>9644</v>
      </c>
      <c r="G195">
        <v>88</v>
      </c>
      <c r="H195">
        <v>4.7</v>
      </c>
      <c r="I195">
        <f t="shared" si="24"/>
        <v>0</v>
      </c>
      <c r="J195">
        <v>0</v>
      </c>
      <c r="K195">
        <v>22</v>
      </c>
      <c r="L195">
        <v>2.81</v>
      </c>
      <c r="M195">
        <v>0</v>
      </c>
      <c r="N195">
        <v>752321.72</v>
      </c>
      <c r="O195">
        <v>137788.51</v>
      </c>
      <c r="P195">
        <f t="shared" si="25"/>
        <v>0</v>
      </c>
      <c r="Q195">
        <f t="shared" si="26"/>
        <v>0</v>
      </c>
      <c r="R195">
        <f t="shared" si="27"/>
        <v>0</v>
      </c>
      <c r="S195">
        <f t="shared" si="28"/>
        <v>0</v>
      </c>
      <c r="T195">
        <f t="shared" si="29"/>
        <v>0</v>
      </c>
      <c r="U195">
        <f t="shared" si="30"/>
        <v>763163.84619670105</v>
      </c>
      <c r="V195">
        <f t="shared" si="31"/>
        <v>-10842.12619670108</v>
      </c>
    </row>
    <row r="196" spans="1:22">
      <c r="A196" t="s">
        <v>93</v>
      </c>
      <c r="B196" s="3">
        <v>45658</v>
      </c>
      <c r="C196" t="s">
        <v>27</v>
      </c>
      <c r="D196" t="s">
        <v>16</v>
      </c>
      <c r="E196">
        <v>60183.06</v>
      </c>
      <c r="F196">
        <v>5562</v>
      </c>
      <c r="G196">
        <v>86.3</v>
      </c>
      <c r="H196">
        <v>4.5</v>
      </c>
      <c r="I196">
        <f t="shared" si="24"/>
        <v>0</v>
      </c>
      <c r="J196">
        <v>8.9999999999999993E-3</v>
      </c>
      <c r="K196">
        <v>13</v>
      </c>
      <c r="L196">
        <v>0.2</v>
      </c>
      <c r="M196">
        <v>1</v>
      </c>
      <c r="N196">
        <v>636775.66</v>
      </c>
      <c r="O196">
        <v>122636.86</v>
      </c>
      <c r="P196">
        <f t="shared" si="25"/>
        <v>0</v>
      </c>
      <c r="Q196">
        <f t="shared" si="26"/>
        <v>0</v>
      </c>
      <c r="R196">
        <f t="shared" si="27"/>
        <v>0</v>
      </c>
      <c r="S196">
        <f t="shared" si="28"/>
        <v>0</v>
      </c>
      <c r="T196">
        <f t="shared" si="29"/>
        <v>0</v>
      </c>
      <c r="U196">
        <f t="shared" si="30"/>
        <v>647759.36350570433</v>
      </c>
      <c r="V196">
        <f t="shared" si="31"/>
        <v>-10983.703505704296</v>
      </c>
    </row>
    <row r="197" spans="1:22">
      <c r="A197" t="s">
        <v>23</v>
      </c>
      <c r="B197" s="3">
        <v>45748</v>
      </c>
      <c r="C197" t="s">
        <v>24</v>
      </c>
      <c r="D197" t="s">
        <v>16</v>
      </c>
      <c r="E197">
        <v>41441.93</v>
      </c>
      <c r="F197">
        <v>4865</v>
      </c>
      <c r="G197">
        <v>88.3</v>
      </c>
      <c r="H197">
        <v>4</v>
      </c>
      <c r="I197">
        <f t="shared" si="24"/>
        <v>0</v>
      </c>
      <c r="J197">
        <v>0.158</v>
      </c>
      <c r="K197">
        <v>16</v>
      </c>
      <c r="L197">
        <v>0.5</v>
      </c>
      <c r="M197">
        <v>0</v>
      </c>
      <c r="N197">
        <v>591619.94999999995</v>
      </c>
      <c r="O197">
        <v>99521.35</v>
      </c>
      <c r="P197">
        <f t="shared" si="25"/>
        <v>0</v>
      </c>
      <c r="Q197">
        <f t="shared" si="26"/>
        <v>1</v>
      </c>
      <c r="R197">
        <f t="shared" si="27"/>
        <v>0</v>
      </c>
      <c r="S197">
        <f t="shared" si="28"/>
        <v>0</v>
      </c>
      <c r="T197">
        <f t="shared" si="29"/>
        <v>0</v>
      </c>
      <c r="U197">
        <f t="shared" si="30"/>
        <v>602883.30522590689</v>
      </c>
      <c r="V197">
        <f t="shared" si="31"/>
        <v>-11263.35522590694</v>
      </c>
    </row>
    <row r="198" spans="1:22">
      <c r="A198" t="s">
        <v>46</v>
      </c>
      <c r="B198" s="3">
        <v>45717</v>
      </c>
      <c r="C198" t="s">
        <v>27</v>
      </c>
      <c r="D198" t="s">
        <v>28</v>
      </c>
      <c r="E198">
        <v>38752.800000000003</v>
      </c>
      <c r="F198">
        <v>4712</v>
      </c>
      <c r="G198">
        <v>89.7</v>
      </c>
      <c r="H198">
        <v>4.3</v>
      </c>
      <c r="I198">
        <f t="shared" si="24"/>
        <v>1</v>
      </c>
      <c r="J198">
        <v>7.4999999999999997E-2</v>
      </c>
      <c r="K198">
        <v>15</v>
      </c>
      <c r="L198" s="6">
        <v>4.5599999999999996</v>
      </c>
      <c r="M198">
        <v>0</v>
      </c>
      <c r="N198">
        <v>605775.32999999996</v>
      </c>
      <c r="O198">
        <v>107194.6</v>
      </c>
      <c r="P198">
        <f t="shared" si="25"/>
        <v>0</v>
      </c>
      <c r="Q198">
        <f t="shared" si="26"/>
        <v>0</v>
      </c>
      <c r="R198">
        <f t="shared" si="27"/>
        <v>0</v>
      </c>
      <c r="S198">
        <f t="shared" si="28"/>
        <v>0</v>
      </c>
      <c r="T198">
        <f t="shared" si="29"/>
        <v>0</v>
      </c>
      <c r="U198">
        <f t="shared" si="30"/>
        <v>617172.11305603362</v>
      </c>
      <c r="V198">
        <f t="shared" si="31"/>
        <v>-11396.783056033659</v>
      </c>
    </row>
    <row r="199" spans="1:22">
      <c r="A199" t="s">
        <v>96</v>
      </c>
      <c r="B199" s="3">
        <v>45717</v>
      </c>
      <c r="C199" t="s">
        <v>27</v>
      </c>
      <c r="D199" t="s">
        <v>18</v>
      </c>
      <c r="E199">
        <v>46174.7</v>
      </c>
      <c r="F199">
        <v>4898</v>
      </c>
      <c r="G199">
        <v>91.7</v>
      </c>
      <c r="H199">
        <v>3.1</v>
      </c>
      <c r="I199">
        <f t="shared" si="24"/>
        <v>0</v>
      </c>
      <c r="J199">
        <v>0.114</v>
      </c>
      <c r="K199">
        <v>11</v>
      </c>
      <c r="L199">
        <v>3.75</v>
      </c>
      <c r="M199">
        <v>0</v>
      </c>
      <c r="N199">
        <v>599017.32999999996</v>
      </c>
      <c r="O199">
        <v>134009.92000000001</v>
      </c>
      <c r="P199">
        <f t="shared" si="25"/>
        <v>0</v>
      </c>
      <c r="Q199">
        <f t="shared" si="26"/>
        <v>0</v>
      </c>
      <c r="R199">
        <f t="shared" si="27"/>
        <v>0</v>
      </c>
      <c r="S199">
        <f t="shared" si="28"/>
        <v>0</v>
      </c>
      <c r="T199">
        <f t="shared" si="29"/>
        <v>1</v>
      </c>
      <c r="U199">
        <f t="shared" si="30"/>
        <v>610567.8499339089</v>
      </c>
      <c r="V199">
        <f t="shared" si="31"/>
        <v>-11550.519933908945</v>
      </c>
    </row>
    <row r="200" spans="1:22">
      <c r="A200" t="s">
        <v>72</v>
      </c>
      <c r="B200" s="3">
        <v>45658</v>
      </c>
      <c r="C200" t="s">
        <v>15</v>
      </c>
      <c r="D200" t="s">
        <v>21</v>
      </c>
      <c r="E200">
        <v>22312.93</v>
      </c>
      <c r="F200">
        <v>5955</v>
      </c>
      <c r="G200">
        <v>84.2</v>
      </c>
      <c r="H200">
        <v>4.5999999999999996</v>
      </c>
      <c r="I200">
        <f t="shared" si="24"/>
        <v>0</v>
      </c>
      <c r="J200">
        <v>0.123</v>
      </c>
      <c r="K200">
        <v>13</v>
      </c>
      <c r="L200">
        <v>0.41</v>
      </c>
      <c r="M200">
        <v>1</v>
      </c>
      <c r="N200">
        <v>598904.9</v>
      </c>
      <c r="O200">
        <v>72861</v>
      </c>
      <c r="P200">
        <f t="shared" si="25"/>
        <v>0</v>
      </c>
      <c r="Q200">
        <f t="shared" si="26"/>
        <v>0</v>
      </c>
      <c r="R200">
        <f t="shared" si="27"/>
        <v>1</v>
      </c>
      <c r="S200">
        <f t="shared" si="28"/>
        <v>1</v>
      </c>
      <c r="T200">
        <f t="shared" si="29"/>
        <v>0</v>
      </c>
      <c r="U200">
        <f t="shared" si="30"/>
        <v>610740.51194198395</v>
      </c>
      <c r="V200">
        <f t="shared" si="31"/>
        <v>-11835.611941983923</v>
      </c>
    </row>
    <row r="201" spans="1:22">
      <c r="A201" t="s">
        <v>26</v>
      </c>
      <c r="B201" s="3">
        <v>45717</v>
      </c>
      <c r="C201" t="s">
        <v>27</v>
      </c>
      <c r="D201" t="s">
        <v>28</v>
      </c>
      <c r="E201">
        <v>55270.52</v>
      </c>
      <c r="F201">
        <v>9315</v>
      </c>
      <c r="G201">
        <v>91.9</v>
      </c>
      <c r="H201">
        <v>4</v>
      </c>
      <c r="I201">
        <f t="shared" si="24"/>
        <v>1</v>
      </c>
      <c r="J201">
        <v>0.16900000000000001</v>
      </c>
      <c r="K201">
        <v>23</v>
      </c>
      <c r="L201">
        <v>4.9400000000000004</v>
      </c>
      <c r="M201">
        <v>0</v>
      </c>
      <c r="N201">
        <v>783672.82</v>
      </c>
      <c r="O201">
        <v>112577.14</v>
      </c>
      <c r="P201">
        <f t="shared" si="25"/>
        <v>0</v>
      </c>
      <c r="Q201">
        <f t="shared" si="26"/>
        <v>0</v>
      </c>
      <c r="R201">
        <f t="shared" si="27"/>
        <v>0</v>
      </c>
      <c r="S201">
        <f t="shared" si="28"/>
        <v>0</v>
      </c>
      <c r="T201">
        <f t="shared" si="29"/>
        <v>0</v>
      </c>
      <c r="U201">
        <f t="shared" si="30"/>
        <v>795584.05993476126</v>
      </c>
      <c r="V201">
        <f t="shared" si="31"/>
        <v>-11911.23993476131</v>
      </c>
    </row>
    <row r="202" spans="1:22">
      <c r="A202" t="s">
        <v>38</v>
      </c>
      <c r="B202" s="3">
        <v>45689</v>
      </c>
      <c r="C202" t="s">
        <v>27</v>
      </c>
      <c r="D202" t="s">
        <v>18</v>
      </c>
      <c r="E202">
        <v>51148.69</v>
      </c>
      <c r="F202">
        <v>7940</v>
      </c>
      <c r="G202">
        <v>93.3</v>
      </c>
      <c r="H202">
        <v>3.6</v>
      </c>
      <c r="I202">
        <f t="shared" si="24"/>
        <v>0</v>
      </c>
      <c r="J202">
        <v>0.156</v>
      </c>
      <c r="K202">
        <v>18</v>
      </c>
      <c r="L202">
        <v>10.91</v>
      </c>
      <c r="M202">
        <v>0</v>
      </c>
      <c r="N202">
        <v>717141.55</v>
      </c>
      <c r="O202">
        <v>134013.60999999999</v>
      </c>
      <c r="P202">
        <f t="shared" si="25"/>
        <v>0</v>
      </c>
      <c r="Q202">
        <f t="shared" si="26"/>
        <v>0</v>
      </c>
      <c r="R202">
        <f t="shared" si="27"/>
        <v>0</v>
      </c>
      <c r="S202">
        <f t="shared" si="28"/>
        <v>0</v>
      </c>
      <c r="T202">
        <f t="shared" si="29"/>
        <v>1</v>
      </c>
      <c r="U202">
        <f t="shared" si="30"/>
        <v>729146.37838983303</v>
      </c>
      <c r="V202">
        <f t="shared" si="31"/>
        <v>-12004.828389832983</v>
      </c>
    </row>
    <row r="203" spans="1:22">
      <c r="A203" t="s">
        <v>91</v>
      </c>
      <c r="B203" s="3">
        <v>45748</v>
      </c>
      <c r="C203" t="s">
        <v>24</v>
      </c>
      <c r="D203" t="s">
        <v>16</v>
      </c>
      <c r="E203">
        <v>70284.06</v>
      </c>
      <c r="F203">
        <v>9109</v>
      </c>
      <c r="G203">
        <v>87</v>
      </c>
      <c r="H203">
        <v>3.7</v>
      </c>
      <c r="I203">
        <f t="shared" si="24"/>
        <v>0</v>
      </c>
      <c r="J203">
        <v>4.0000000000000001E-3</v>
      </c>
      <c r="K203">
        <v>23</v>
      </c>
      <c r="L203">
        <v>3.65</v>
      </c>
      <c r="M203">
        <v>0</v>
      </c>
      <c r="N203">
        <v>761122.42</v>
      </c>
      <c r="O203">
        <v>149802.04</v>
      </c>
      <c r="P203">
        <f t="shared" si="25"/>
        <v>0</v>
      </c>
      <c r="Q203">
        <f t="shared" si="26"/>
        <v>1</v>
      </c>
      <c r="R203">
        <f t="shared" si="27"/>
        <v>0</v>
      </c>
      <c r="S203">
        <f t="shared" si="28"/>
        <v>0</v>
      </c>
      <c r="T203">
        <f t="shared" si="29"/>
        <v>0</v>
      </c>
      <c r="U203">
        <f t="shared" si="30"/>
        <v>773169.90580594109</v>
      </c>
      <c r="V203">
        <f t="shared" si="31"/>
        <v>-12047.485805941047</v>
      </c>
    </row>
    <row r="204" spans="1:22">
      <c r="A204" t="s">
        <v>38</v>
      </c>
      <c r="B204" s="3">
        <v>45658</v>
      </c>
      <c r="C204" t="s">
        <v>27</v>
      </c>
      <c r="D204" t="s">
        <v>18</v>
      </c>
      <c r="E204">
        <v>70040.31</v>
      </c>
      <c r="F204">
        <v>9175</v>
      </c>
      <c r="G204">
        <v>95.1</v>
      </c>
      <c r="H204">
        <v>3.4</v>
      </c>
      <c r="I204">
        <f t="shared" si="24"/>
        <v>0</v>
      </c>
      <c r="J204">
        <v>0.107</v>
      </c>
      <c r="K204">
        <v>23</v>
      </c>
      <c r="L204">
        <v>6.08</v>
      </c>
      <c r="M204">
        <v>1</v>
      </c>
      <c r="N204">
        <v>784502.68</v>
      </c>
      <c r="O204">
        <v>129519.72</v>
      </c>
      <c r="P204">
        <f t="shared" si="25"/>
        <v>0</v>
      </c>
      <c r="Q204">
        <f t="shared" si="26"/>
        <v>0</v>
      </c>
      <c r="R204">
        <f t="shared" si="27"/>
        <v>0</v>
      </c>
      <c r="S204">
        <f t="shared" si="28"/>
        <v>0</v>
      </c>
      <c r="T204">
        <f t="shared" si="29"/>
        <v>1</v>
      </c>
      <c r="U204">
        <f t="shared" si="30"/>
        <v>796603.35628656007</v>
      </c>
      <c r="V204">
        <f t="shared" si="31"/>
        <v>-12100.676286560018</v>
      </c>
    </row>
    <row r="205" spans="1:22">
      <c r="A205" t="s">
        <v>74</v>
      </c>
      <c r="B205" s="3">
        <v>45717</v>
      </c>
      <c r="C205" t="s">
        <v>15</v>
      </c>
      <c r="D205" t="s">
        <v>18</v>
      </c>
      <c r="E205">
        <v>107970.19</v>
      </c>
      <c r="F205">
        <v>12870</v>
      </c>
      <c r="G205">
        <v>91.7</v>
      </c>
      <c r="H205">
        <v>3.7</v>
      </c>
      <c r="I205">
        <f t="shared" si="24"/>
        <v>0</v>
      </c>
      <c r="J205">
        <v>2.9000000000000001E-2</v>
      </c>
      <c r="K205">
        <v>31</v>
      </c>
      <c r="L205">
        <v>3.82</v>
      </c>
      <c r="M205">
        <v>1</v>
      </c>
      <c r="N205">
        <v>946833.54</v>
      </c>
      <c r="O205">
        <v>184540.31</v>
      </c>
      <c r="P205">
        <f t="shared" si="25"/>
        <v>0</v>
      </c>
      <c r="Q205">
        <f t="shared" si="26"/>
        <v>0</v>
      </c>
      <c r="R205">
        <f t="shared" si="27"/>
        <v>1</v>
      </c>
      <c r="S205">
        <f t="shared" si="28"/>
        <v>0</v>
      </c>
      <c r="T205">
        <f t="shared" si="29"/>
        <v>1</v>
      </c>
      <c r="U205">
        <f t="shared" si="30"/>
        <v>959024.75401975343</v>
      </c>
      <c r="V205">
        <f t="shared" si="31"/>
        <v>-12191.214019753388</v>
      </c>
    </row>
    <row r="206" spans="1:22">
      <c r="A206" t="s">
        <v>74</v>
      </c>
      <c r="B206" s="3">
        <v>45748</v>
      </c>
      <c r="C206" t="s">
        <v>15</v>
      </c>
      <c r="D206" t="s">
        <v>18</v>
      </c>
      <c r="E206">
        <v>49405.75</v>
      </c>
      <c r="F206">
        <v>9752</v>
      </c>
      <c r="G206">
        <v>87</v>
      </c>
      <c r="H206">
        <v>4.0999999999999996</v>
      </c>
      <c r="I206">
        <f t="shared" si="24"/>
        <v>0</v>
      </c>
      <c r="J206">
        <v>9.2999999999999999E-2</v>
      </c>
      <c r="K206">
        <v>21</v>
      </c>
      <c r="L206">
        <v>12.28</v>
      </c>
      <c r="M206">
        <v>0</v>
      </c>
      <c r="N206">
        <v>761963.23</v>
      </c>
      <c r="O206">
        <v>150113.60999999999</v>
      </c>
      <c r="P206">
        <f t="shared" si="25"/>
        <v>0</v>
      </c>
      <c r="Q206">
        <f t="shared" si="26"/>
        <v>0</v>
      </c>
      <c r="R206">
        <f t="shared" si="27"/>
        <v>1</v>
      </c>
      <c r="S206">
        <f t="shared" si="28"/>
        <v>0</v>
      </c>
      <c r="T206">
        <f t="shared" si="29"/>
        <v>1</v>
      </c>
      <c r="U206">
        <f t="shared" si="30"/>
        <v>774254.10187467514</v>
      </c>
      <c r="V206">
        <f t="shared" si="31"/>
        <v>-12290.871874675155</v>
      </c>
    </row>
    <row r="207" spans="1:22">
      <c r="A207" t="s">
        <v>51</v>
      </c>
      <c r="B207" s="3">
        <v>45748</v>
      </c>
      <c r="C207" t="s">
        <v>27</v>
      </c>
      <c r="D207" t="s">
        <v>16</v>
      </c>
      <c r="E207">
        <v>54968.98</v>
      </c>
      <c r="F207">
        <v>7816</v>
      </c>
      <c r="G207">
        <v>95.7</v>
      </c>
      <c r="H207">
        <v>4.7</v>
      </c>
      <c r="I207">
        <f t="shared" si="24"/>
        <v>0</v>
      </c>
      <c r="J207">
        <v>0.23200000000000001</v>
      </c>
      <c r="K207">
        <v>19</v>
      </c>
      <c r="L207">
        <v>7.85</v>
      </c>
      <c r="M207">
        <v>0</v>
      </c>
      <c r="N207">
        <v>735480.19</v>
      </c>
      <c r="O207">
        <v>88342.11</v>
      </c>
      <c r="P207">
        <f t="shared" si="25"/>
        <v>0</v>
      </c>
      <c r="Q207">
        <f t="shared" si="26"/>
        <v>0</v>
      </c>
      <c r="R207">
        <f t="shared" si="27"/>
        <v>0</v>
      </c>
      <c r="S207">
        <f t="shared" si="28"/>
        <v>0</v>
      </c>
      <c r="T207">
        <f t="shared" si="29"/>
        <v>0</v>
      </c>
      <c r="U207">
        <f t="shared" si="30"/>
        <v>748256.33571287536</v>
      </c>
      <c r="V207">
        <f t="shared" si="31"/>
        <v>-12776.145712875412</v>
      </c>
    </row>
    <row r="208" spans="1:22">
      <c r="A208" t="s">
        <v>61</v>
      </c>
      <c r="B208" s="3">
        <v>45658</v>
      </c>
      <c r="C208" t="s">
        <v>20</v>
      </c>
      <c r="D208" t="s">
        <v>28</v>
      </c>
      <c r="E208">
        <v>86883.31</v>
      </c>
      <c r="F208">
        <v>6424</v>
      </c>
      <c r="G208">
        <v>85.2</v>
      </c>
      <c r="H208">
        <v>3.9</v>
      </c>
      <c r="I208">
        <f t="shared" si="24"/>
        <v>1</v>
      </c>
      <c r="J208">
        <v>5.7000000000000002E-2</v>
      </c>
      <c r="K208">
        <v>19</v>
      </c>
      <c r="L208">
        <v>3.08</v>
      </c>
      <c r="M208">
        <v>0</v>
      </c>
      <c r="N208">
        <v>700078.32</v>
      </c>
      <c r="O208">
        <v>123707.58</v>
      </c>
      <c r="P208">
        <f t="shared" si="25"/>
        <v>1</v>
      </c>
      <c r="Q208">
        <f t="shared" si="26"/>
        <v>0</v>
      </c>
      <c r="R208">
        <f t="shared" si="27"/>
        <v>0</v>
      </c>
      <c r="S208">
        <f t="shared" si="28"/>
        <v>0</v>
      </c>
      <c r="T208">
        <f t="shared" si="29"/>
        <v>0</v>
      </c>
      <c r="U208">
        <f t="shared" si="30"/>
        <v>714173.69387385086</v>
      </c>
      <c r="V208">
        <f t="shared" si="31"/>
        <v>-14095.373873850913</v>
      </c>
    </row>
    <row r="209" spans="1:22">
      <c r="A209" t="s">
        <v>46</v>
      </c>
      <c r="B209" s="3">
        <v>45658</v>
      </c>
      <c r="C209" t="s">
        <v>27</v>
      </c>
      <c r="D209" t="s">
        <v>28</v>
      </c>
      <c r="E209">
        <v>61132.07</v>
      </c>
      <c r="F209">
        <v>6394</v>
      </c>
      <c r="G209">
        <v>91</v>
      </c>
      <c r="H209">
        <v>4.4000000000000004</v>
      </c>
      <c r="I209">
        <f t="shared" si="24"/>
        <v>1</v>
      </c>
      <c r="J209">
        <v>0.16300000000000001</v>
      </c>
      <c r="K209">
        <v>19</v>
      </c>
      <c r="L209">
        <v>19.600000000000001</v>
      </c>
      <c r="M209">
        <v>0</v>
      </c>
      <c r="N209">
        <v>691113.62</v>
      </c>
      <c r="O209">
        <v>135145.44</v>
      </c>
      <c r="P209">
        <f t="shared" si="25"/>
        <v>0</v>
      </c>
      <c r="Q209">
        <f t="shared" si="26"/>
        <v>0</v>
      </c>
      <c r="R209">
        <f t="shared" si="27"/>
        <v>0</v>
      </c>
      <c r="S209">
        <f t="shared" si="28"/>
        <v>0</v>
      </c>
      <c r="T209">
        <f t="shared" si="29"/>
        <v>0</v>
      </c>
      <c r="U209">
        <f t="shared" si="30"/>
        <v>705450.38141178095</v>
      </c>
      <c r="V209">
        <f t="shared" si="31"/>
        <v>-14336.761411780957</v>
      </c>
    </row>
    <row r="210" spans="1:22">
      <c r="A210" t="s">
        <v>81</v>
      </c>
      <c r="B210" s="3">
        <v>45689</v>
      </c>
      <c r="C210" t="s">
        <v>27</v>
      </c>
      <c r="D210" t="s">
        <v>28</v>
      </c>
      <c r="E210">
        <v>72961.95</v>
      </c>
      <c r="F210">
        <v>9996</v>
      </c>
      <c r="G210">
        <v>89.1</v>
      </c>
      <c r="H210">
        <v>3.4</v>
      </c>
      <c r="I210">
        <f t="shared" si="24"/>
        <v>1</v>
      </c>
      <c r="J210">
        <v>0.106</v>
      </c>
      <c r="K210">
        <v>22</v>
      </c>
      <c r="L210">
        <v>15.66</v>
      </c>
      <c r="M210">
        <v>0</v>
      </c>
      <c r="N210">
        <v>810355.02</v>
      </c>
      <c r="O210">
        <v>131510</v>
      </c>
      <c r="P210">
        <f t="shared" si="25"/>
        <v>0</v>
      </c>
      <c r="Q210">
        <f t="shared" si="26"/>
        <v>0</v>
      </c>
      <c r="R210">
        <f t="shared" si="27"/>
        <v>0</v>
      </c>
      <c r="S210">
        <f t="shared" si="28"/>
        <v>0</v>
      </c>
      <c r="T210">
        <f t="shared" si="29"/>
        <v>0</v>
      </c>
      <c r="U210">
        <f t="shared" si="30"/>
        <v>824779.26032242458</v>
      </c>
      <c r="V210">
        <f t="shared" si="31"/>
        <v>-14424.240322424565</v>
      </c>
    </row>
    <row r="211" spans="1:22">
      <c r="A211" t="s">
        <v>23</v>
      </c>
      <c r="B211" s="3">
        <v>45658</v>
      </c>
      <c r="C211" t="s">
        <v>24</v>
      </c>
      <c r="D211" t="s">
        <v>16</v>
      </c>
      <c r="E211">
        <v>48804.22</v>
      </c>
      <c r="F211">
        <v>7057</v>
      </c>
      <c r="G211">
        <v>87.7</v>
      </c>
      <c r="H211">
        <v>3.7</v>
      </c>
      <c r="I211">
        <f t="shared" si="24"/>
        <v>0</v>
      </c>
      <c r="J211">
        <v>5.0000000000000001E-3</v>
      </c>
      <c r="K211">
        <v>15</v>
      </c>
      <c r="L211">
        <v>1.22</v>
      </c>
      <c r="M211">
        <v>0</v>
      </c>
      <c r="N211">
        <v>666152.52</v>
      </c>
      <c r="O211">
        <v>107490.58</v>
      </c>
      <c r="P211">
        <f t="shared" si="25"/>
        <v>0</v>
      </c>
      <c r="Q211">
        <f t="shared" si="26"/>
        <v>1</v>
      </c>
      <c r="R211">
        <f t="shared" si="27"/>
        <v>0</v>
      </c>
      <c r="S211">
        <f t="shared" si="28"/>
        <v>0</v>
      </c>
      <c r="T211">
        <f t="shared" si="29"/>
        <v>0</v>
      </c>
      <c r="U211">
        <f t="shared" si="30"/>
        <v>680601.1734289031</v>
      </c>
      <c r="V211">
        <f t="shared" si="31"/>
        <v>-14448.653428903082</v>
      </c>
    </row>
    <row r="212" spans="1:22">
      <c r="A212" t="s">
        <v>19</v>
      </c>
      <c r="B212" s="3">
        <v>45717</v>
      </c>
      <c r="C212" t="s">
        <v>20</v>
      </c>
      <c r="D212" t="s">
        <v>21</v>
      </c>
      <c r="E212">
        <v>34285.21</v>
      </c>
      <c r="F212">
        <v>9172</v>
      </c>
      <c r="G212">
        <v>88.3</v>
      </c>
      <c r="H212">
        <v>3.8</v>
      </c>
      <c r="I212">
        <f t="shared" si="24"/>
        <v>0</v>
      </c>
      <c r="J212">
        <v>0.21299999999999999</v>
      </c>
      <c r="K212">
        <v>22</v>
      </c>
      <c r="L212">
        <v>10.46</v>
      </c>
      <c r="M212">
        <v>1</v>
      </c>
      <c r="N212">
        <v>723060.76</v>
      </c>
      <c r="O212">
        <v>123131.24</v>
      </c>
      <c r="P212">
        <f t="shared" si="25"/>
        <v>1</v>
      </c>
      <c r="Q212">
        <f t="shared" si="26"/>
        <v>0</v>
      </c>
      <c r="R212">
        <f t="shared" si="27"/>
        <v>0</v>
      </c>
      <c r="S212">
        <f t="shared" si="28"/>
        <v>1</v>
      </c>
      <c r="T212">
        <f t="shared" si="29"/>
        <v>0</v>
      </c>
      <c r="U212">
        <f t="shared" si="30"/>
        <v>737576.49741438625</v>
      </c>
      <c r="V212">
        <f t="shared" si="31"/>
        <v>-14515.73741438624</v>
      </c>
    </row>
    <row r="213" spans="1:22">
      <c r="A213" t="s">
        <v>101</v>
      </c>
      <c r="B213" s="3">
        <v>45717</v>
      </c>
      <c r="C213" t="s">
        <v>15</v>
      </c>
      <c r="D213" t="s">
        <v>16</v>
      </c>
      <c r="E213">
        <v>81902.58</v>
      </c>
      <c r="F213">
        <v>7775</v>
      </c>
      <c r="G213">
        <v>85.2</v>
      </c>
      <c r="H213">
        <v>4.2</v>
      </c>
      <c r="I213">
        <f t="shared" si="24"/>
        <v>0</v>
      </c>
      <c r="J213">
        <v>0.215</v>
      </c>
      <c r="K213">
        <v>20</v>
      </c>
      <c r="L213">
        <v>4.8899999999999997</v>
      </c>
      <c r="M213">
        <v>1</v>
      </c>
      <c r="N213">
        <v>726776.22</v>
      </c>
      <c r="O213">
        <v>90804.49</v>
      </c>
      <c r="P213">
        <f t="shared" si="25"/>
        <v>0</v>
      </c>
      <c r="Q213">
        <f t="shared" si="26"/>
        <v>0</v>
      </c>
      <c r="R213">
        <f t="shared" si="27"/>
        <v>1</v>
      </c>
      <c r="S213">
        <f t="shared" si="28"/>
        <v>0</v>
      </c>
      <c r="T213">
        <f t="shared" si="29"/>
        <v>0</v>
      </c>
      <c r="U213">
        <f t="shared" si="30"/>
        <v>741700.31847732852</v>
      </c>
      <c r="V213">
        <f t="shared" si="31"/>
        <v>-14924.098477328545</v>
      </c>
    </row>
    <row r="214" spans="1:22">
      <c r="A214" t="s">
        <v>88</v>
      </c>
      <c r="B214" s="3">
        <v>45658</v>
      </c>
      <c r="C214" t="s">
        <v>15</v>
      </c>
      <c r="D214" t="s">
        <v>18</v>
      </c>
      <c r="E214">
        <v>58981.91</v>
      </c>
      <c r="F214">
        <v>7324</v>
      </c>
      <c r="G214">
        <v>95.8</v>
      </c>
      <c r="H214">
        <v>3.5</v>
      </c>
      <c r="I214">
        <f t="shared" si="24"/>
        <v>0</v>
      </c>
      <c r="J214">
        <v>9.4E-2</v>
      </c>
      <c r="K214">
        <v>15</v>
      </c>
      <c r="L214">
        <v>0.5</v>
      </c>
      <c r="M214">
        <v>0</v>
      </c>
      <c r="N214">
        <v>708985.19</v>
      </c>
      <c r="O214">
        <v>125368.16</v>
      </c>
      <c r="P214">
        <f t="shared" si="25"/>
        <v>0</v>
      </c>
      <c r="Q214">
        <f t="shared" si="26"/>
        <v>0</v>
      </c>
      <c r="R214">
        <f t="shared" si="27"/>
        <v>1</v>
      </c>
      <c r="S214">
        <f t="shared" si="28"/>
        <v>0</v>
      </c>
      <c r="T214">
        <f t="shared" si="29"/>
        <v>1</v>
      </c>
      <c r="U214">
        <f t="shared" si="30"/>
        <v>724221.18005260918</v>
      </c>
      <c r="V214">
        <f t="shared" si="31"/>
        <v>-15235.990052609239</v>
      </c>
    </row>
    <row r="215" spans="1:22">
      <c r="A215" t="s">
        <v>63</v>
      </c>
      <c r="B215" s="3">
        <v>45717</v>
      </c>
      <c r="C215" t="s">
        <v>20</v>
      </c>
      <c r="D215" t="s">
        <v>28</v>
      </c>
      <c r="E215">
        <v>30301.86</v>
      </c>
      <c r="F215">
        <v>6939</v>
      </c>
      <c r="G215">
        <v>90.3</v>
      </c>
      <c r="H215">
        <v>4</v>
      </c>
      <c r="I215">
        <f t="shared" si="24"/>
        <v>1</v>
      </c>
      <c r="J215">
        <v>0.09</v>
      </c>
      <c r="K215">
        <v>16</v>
      </c>
      <c r="L215">
        <v>3.49</v>
      </c>
      <c r="M215">
        <v>0</v>
      </c>
      <c r="N215">
        <v>665534.69999999995</v>
      </c>
      <c r="O215">
        <v>113167.73</v>
      </c>
      <c r="P215">
        <f t="shared" si="25"/>
        <v>1</v>
      </c>
      <c r="Q215">
        <f t="shared" si="26"/>
        <v>0</v>
      </c>
      <c r="R215">
        <f t="shared" si="27"/>
        <v>0</v>
      </c>
      <c r="S215">
        <f t="shared" si="28"/>
        <v>0</v>
      </c>
      <c r="T215">
        <f t="shared" si="29"/>
        <v>0</v>
      </c>
      <c r="U215">
        <f t="shared" si="30"/>
        <v>680956.08229062974</v>
      </c>
      <c r="V215">
        <f t="shared" si="31"/>
        <v>-15421.382290629786</v>
      </c>
    </row>
    <row r="216" spans="1:22">
      <c r="A216" t="s">
        <v>85</v>
      </c>
      <c r="B216" s="3">
        <v>45748</v>
      </c>
      <c r="C216" t="s">
        <v>24</v>
      </c>
      <c r="D216" t="s">
        <v>21</v>
      </c>
      <c r="E216">
        <v>36290.080000000002</v>
      </c>
      <c r="F216">
        <v>5787</v>
      </c>
      <c r="G216">
        <v>88.3</v>
      </c>
      <c r="H216">
        <v>4.0999999999999996</v>
      </c>
      <c r="I216">
        <f t="shared" si="24"/>
        <v>0</v>
      </c>
      <c r="J216">
        <v>0</v>
      </c>
      <c r="K216">
        <v>17</v>
      </c>
      <c r="L216">
        <v>4.1900000000000004</v>
      </c>
      <c r="M216">
        <v>0</v>
      </c>
      <c r="N216">
        <v>612390.14</v>
      </c>
      <c r="O216">
        <v>108985.74</v>
      </c>
      <c r="P216">
        <f t="shared" si="25"/>
        <v>0</v>
      </c>
      <c r="Q216">
        <f t="shared" si="26"/>
        <v>1</v>
      </c>
      <c r="R216">
        <f t="shared" si="27"/>
        <v>0</v>
      </c>
      <c r="S216">
        <f t="shared" si="28"/>
        <v>1</v>
      </c>
      <c r="T216">
        <f t="shared" si="29"/>
        <v>0</v>
      </c>
      <c r="U216">
        <f t="shared" si="30"/>
        <v>628910.57936169091</v>
      </c>
      <c r="V216">
        <f t="shared" si="31"/>
        <v>-16520.439361690893</v>
      </c>
    </row>
    <row r="217" spans="1:22">
      <c r="A217" t="s">
        <v>45</v>
      </c>
      <c r="B217" s="3">
        <v>45658</v>
      </c>
      <c r="C217" t="s">
        <v>27</v>
      </c>
      <c r="D217" t="s">
        <v>16</v>
      </c>
      <c r="E217">
        <v>38966.589999999997</v>
      </c>
      <c r="F217">
        <v>4509</v>
      </c>
      <c r="G217">
        <v>91.1</v>
      </c>
      <c r="H217">
        <v>4.5999999999999996</v>
      </c>
      <c r="I217">
        <f t="shared" si="24"/>
        <v>0</v>
      </c>
      <c r="J217">
        <v>0.19400000000000001</v>
      </c>
      <c r="K217">
        <v>14</v>
      </c>
      <c r="L217">
        <v>2.92</v>
      </c>
      <c r="M217">
        <v>0</v>
      </c>
      <c r="N217">
        <v>585937.48</v>
      </c>
      <c r="O217">
        <v>82624.2</v>
      </c>
      <c r="P217">
        <f t="shared" si="25"/>
        <v>0</v>
      </c>
      <c r="Q217">
        <f t="shared" si="26"/>
        <v>0</v>
      </c>
      <c r="R217">
        <f t="shared" si="27"/>
        <v>0</v>
      </c>
      <c r="S217">
        <f t="shared" si="28"/>
        <v>0</v>
      </c>
      <c r="T217">
        <f t="shared" si="29"/>
        <v>0</v>
      </c>
      <c r="U217">
        <f t="shared" si="30"/>
        <v>602703.64687581023</v>
      </c>
      <c r="V217">
        <f t="shared" si="31"/>
        <v>-16766.166875810246</v>
      </c>
    </row>
    <row r="218" spans="1:22">
      <c r="A218" t="s">
        <v>41</v>
      </c>
      <c r="B218" s="3">
        <v>45748</v>
      </c>
      <c r="C218" t="s">
        <v>24</v>
      </c>
      <c r="D218" t="s">
        <v>18</v>
      </c>
      <c r="E218">
        <v>77999.899999999994</v>
      </c>
      <c r="F218">
        <v>5974</v>
      </c>
      <c r="G218">
        <v>81.3</v>
      </c>
      <c r="H218">
        <v>3.2</v>
      </c>
      <c r="I218">
        <f t="shared" si="24"/>
        <v>0</v>
      </c>
      <c r="J218">
        <v>0.252</v>
      </c>
      <c r="K218">
        <v>14</v>
      </c>
      <c r="L218">
        <v>2.39</v>
      </c>
      <c r="M218">
        <v>0</v>
      </c>
      <c r="N218">
        <v>636561.34</v>
      </c>
      <c r="O218">
        <v>93861.06</v>
      </c>
      <c r="P218">
        <f t="shared" si="25"/>
        <v>0</v>
      </c>
      <c r="Q218">
        <f t="shared" si="26"/>
        <v>1</v>
      </c>
      <c r="R218">
        <f t="shared" si="27"/>
        <v>0</v>
      </c>
      <c r="S218">
        <f t="shared" si="28"/>
        <v>0</v>
      </c>
      <c r="T218">
        <f t="shared" si="29"/>
        <v>1</v>
      </c>
      <c r="U218">
        <f t="shared" si="30"/>
        <v>654047.46464966133</v>
      </c>
      <c r="V218">
        <f t="shared" si="31"/>
        <v>-17486.12464966136</v>
      </c>
    </row>
    <row r="219" spans="1:22">
      <c r="A219" t="s">
        <v>54</v>
      </c>
      <c r="B219" s="3">
        <v>45748</v>
      </c>
      <c r="C219" t="s">
        <v>15</v>
      </c>
      <c r="D219" t="s">
        <v>18</v>
      </c>
      <c r="E219">
        <v>66455.8</v>
      </c>
      <c r="F219">
        <v>10836</v>
      </c>
      <c r="G219">
        <v>85</v>
      </c>
      <c r="H219">
        <v>4.5</v>
      </c>
      <c r="I219">
        <f t="shared" si="24"/>
        <v>0</v>
      </c>
      <c r="J219">
        <v>8.8999999999999996E-2</v>
      </c>
      <c r="K219">
        <v>25</v>
      </c>
      <c r="L219">
        <v>9.77</v>
      </c>
      <c r="M219">
        <v>0</v>
      </c>
      <c r="N219">
        <v>811452.72</v>
      </c>
      <c r="O219">
        <v>131325.67000000001</v>
      </c>
      <c r="P219">
        <f t="shared" si="25"/>
        <v>0</v>
      </c>
      <c r="Q219">
        <f t="shared" si="26"/>
        <v>0</v>
      </c>
      <c r="R219">
        <f t="shared" si="27"/>
        <v>1</v>
      </c>
      <c r="S219">
        <f t="shared" si="28"/>
        <v>0</v>
      </c>
      <c r="T219">
        <f t="shared" si="29"/>
        <v>1</v>
      </c>
      <c r="U219">
        <f t="shared" si="30"/>
        <v>829134.4947953946</v>
      </c>
      <c r="V219">
        <f t="shared" si="31"/>
        <v>-17681.774795394624</v>
      </c>
    </row>
    <row r="220" spans="1:22">
      <c r="A220" t="s">
        <v>31</v>
      </c>
      <c r="B220" s="3">
        <v>45717</v>
      </c>
      <c r="C220" t="s">
        <v>20</v>
      </c>
      <c r="D220" t="s">
        <v>28</v>
      </c>
      <c r="E220">
        <v>93381.26</v>
      </c>
      <c r="F220">
        <v>7562</v>
      </c>
      <c r="G220">
        <v>82.9</v>
      </c>
      <c r="H220">
        <v>4</v>
      </c>
      <c r="I220">
        <f t="shared" si="24"/>
        <v>1</v>
      </c>
      <c r="J220">
        <v>0.19800000000000001</v>
      </c>
      <c r="K220">
        <v>19</v>
      </c>
      <c r="L220">
        <v>5.05</v>
      </c>
      <c r="M220">
        <v>0</v>
      </c>
      <c r="N220">
        <v>736633.4</v>
      </c>
      <c r="O220">
        <v>115654.66</v>
      </c>
      <c r="P220">
        <f t="shared" si="25"/>
        <v>1</v>
      </c>
      <c r="Q220">
        <f t="shared" si="26"/>
        <v>0</v>
      </c>
      <c r="R220">
        <f t="shared" si="27"/>
        <v>0</v>
      </c>
      <c r="S220">
        <f t="shared" si="28"/>
        <v>0</v>
      </c>
      <c r="T220">
        <f t="shared" si="29"/>
        <v>0</v>
      </c>
      <c r="U220">
        <f t="shared" si="30"/>
        <v>754316.98789660761</v>
      </c>
      <c r="V220">
        <f t="shared" si="31"/>
        <v>-17683.587896607583</v>
      </c>
    </row>
    <row r="221" spans="1:22">
      <c r="A221" t="s">
        <v>94</v>
      </c>
      <c r="B221" s="3">
        <v>45748</v>
      </c>
      <c r="C221" t="s">
        <v>15</v>
      </c>
      <c r="D221" t="s">
        <v>16</v>
      </c>
      <c r="E221">
        <v>54080.91</v>
      </c>
      <c r="F221">
        <v>7083</v>
      </c>
      <c r="G221">
        <v>97</v>
      </c>
      <c r="H221">
        <v>4.0999999999999996</v>
      </c>
      <c r="I221">
        <f t="shared" si="24"/>
        <v>0</v>
      </c>
      <c r="J221">
        <v>0</v>
      </c>
      <c r="K221">
        <v>15</v>
      </c>
      <c r="L221">
        <v>5.33</v>
      </c>
      <c r="M221">
        <v>0</v>
      </c>
      <c r="N221">
        <v>702068.92</v>
      </c>
      <c r="O221">
        <v>111266.63</v>
      </c>
      <c r="P221">
        <f t="shared" si="25"/>
        <v>0</v>
      </c>
      <c r="Q221">
        <f t="shared" si="26"/>
        <v>0</v>
      </c>
      <c r="R221">
        <f t="shared" si="27"/>
        <v>1</v>
      </c>
      <c r="S221">
        <f t="shared" si="28"/>
        <v>0</v>
      </c>
      <c r="T221">
        <f t="shared" si="29"/>
        <v>0</v>
      </c>
      <c r="U221">
        <f t="shared" si="30"/>
        <v>720178.46472197212</v>
      </c>
      <c r="V221">
        <f t="shared" si="31"/>
        <v>-18109.544721972081</v>
      </c>
    </row>
    <row r="222" spans="1:22">
      <c r="A222" t="s">
        <v>89</v>
      </c>
      <c r="B222" s="3">
        <v>45717</v>
      </c>
      <c r="C222" t="s">
        <v>15</v>
      </c>
      <c r="D222" t="s">
        <v>28</v>
      </c>
      <c r="E222">
        <v>61995.3</v>
      </c>
      <c r="F222">
        <v>10192</v>
      </c>
      <c r="G222">
        <v>87.6</v>
      </c>
      <c r="H222">
        <v>3.8</v>
      </c>
      <c r="I222">
        <f t="shared" si="24"/>
        <v>1</v>
      </c>
      <c r="J222">
        <v>0.19800000000000001</v>
      </c>
      <c r="K222">
        <v>21</v>
      </c>
      <c r="L222">
        <v>3.63</v>
      </c>
      <c r="M222">
        <v>1</v>
      </c>
      <c r="N222">
        <v>799756.46</v>
      </c>
      <c r="O222">
        <v>105052.93</v>
      </c>
      <c r="P222">
        <f t="shared" si="25"/>
        <v>0</v>
      </c>
      <c r="Q222">
        <f t="shared" si="26"/>
        <v>0</v>
      </c>
      <c r="R222">
        <f t="shared" si="27"/>
        <v>1</v>
      </c>
      <c r="S222">
        <f t="shared" si="28"/>
        <v>0</v>
      </c>
      <c r="T222">
        <f t="shared" si="29"/>
        <v>0</v>
      </c>
      <c r="U222">
        <f t="shared" si="30"/>
        <v>817987.06062488118</v>
      </c>
      <c r="V222">
        <f t="shared" si="31"/>
        <v>-18230.600624881219</v>
      </c>
    </row>
    <row r="223" spans="1:22">
      <c r="A223" t="s">
        <v>93</v>
      </c>
      <c r="B223" s="3">
        <v>45748</v>
      </c>
      <c r="C223" t="s">
        <v>27</v>
      </c>
      <c r="D223" t="s">
        <v>16</v>
      </c>
      <c r="E223">
        <v>40928.69</v>
      </c>
      <c r="F223">
        <v>4094</v>
      </c>
      <c r="G223">
        <v>82.4</v>
      </c>
      <c r="H223">
        <v>4.8</v>
      </c>
      <c r="I223">
        <f t="shared" si="24"/>
        <v>0</v>
      </c>
      <c r="J223">
        <v>0.17399999999999999</v>
      </c>
      <c r="K223">
        <v>13</v>
      </c>
      <c r="L223">
        <v>1.36</v>
      </c>
      <c r="M223">
        <v>0</v>
      </c>
      <c r="N223">
        <v>548103.69999999995</v>
      </c>
      <c r="O223">
        <v>99905.52</v>
      </c>
      <c r="P223">
        <f t="shared" si="25"/>
        <v>0</v>
      </c>
      <c r="Q223">
        <f t="shared" si="26"/>
        <v>0</v>
      </c>
      <c r="R223">
        <f t="shared" si="27"/>
        <v>0</v>
      </c>
      <c r="S223">
        <f t="shared" si="28"/>
        <v>0</v>
      </c>
      <c r="T223">
        <f t="shared" si="29"/>
        <v>0</v>
      </c>
      <c r="U223">
        <f t="shared" si="30"/>
        <v>566671.63820949302</v>
      </c>
      <c r="V223">
        <f t="shared" si="31"/>
        <v>-18567.938209493062</v>
      </c>
    </row>
    <row r="224" spans="1:22">
      <c r="A224" t="s">
        <v>65</v>
      </c>
      <c r="B224" s="3">
        <v>45748</v>
      </c>
      <c r="C224" t="s">
        <v>15</v>
      </c>
      <c r="D224" t="s">
        <v>16</v>
      </c>
      <c r="E224">
        <v>63043.94</v>
      </c>
      <c r="F224">
        <v>10402</v>
      </c>
      <c r="G224">
        <v>93.9</v>
      </c>
      <c r="H224">
        <v>3.1</v>
      </c>
      <c r="I224">
        <f t="shared" si="24"/>
        <v>0</v>
      </c>
      <c r="J224">
        <v>0.159</v>
      </c>
      <c r="K224">
        <v>23</v>
      </c>
      <c r="L224">
        <v>2.71</v>
      </c>
      <c r="M224">
        <v>0</v>
      </c>
      <c r="N224">
        <v>804264</v>
      </c>
      <c r="O224">
        <v>167117.91</v>
      </c>
      <c r="P224">
        <f t="shared" si="25"/>
        <v>0</v>
      </c>
      <c r="Q224">
        <f t="shared" si="26"/>
        <v>0</v>
      </c>
      <c r="R224">
        <f t="shared" si="27"/>
        <v>1</v>
      </c>
      <c r="S224">
        <f t="shared" si="28"/>
        <v>0</v>
      </c>
      <c r="T224">
        <f t="shared" si="29"/>
        <v>0</v>
      </c>
      <c r="U224">
        <f t="shared" si="30"/>
        <v>822912.80545694474</v>
      </c>
      <c r="V224">
        <f t="shared" si="31"/>
        <v>-18648.805456944741</v>
      </c>
    </row>
    <row r="225" spans="1:22">
      <c r="A225" t="s">
        <v>22</v>
      </c>
      <c r="B225" s="3">
        <v>45717</v>
      </c>
      <c r="C225" t="s">
        <v>15</v>
      </c>
      <c r="D225" t="s">
        <v>16</v>
      </c>
      <c r="E225">
        <v>59909.51</v>
      </c>
      <c r="F225">
        <v>8895</v>
      </c>
      <c r="G225">
        <v>88.8</v>
      </c>
      <c r="H225">
        <v>4.3</v>
      </c>
      <c r="I225">
        <f t="shared" si="24"/>
        <v>0</v>
      </c>
      <c r="J225">
        <v>0.22800000000000001</v>
      </c>
      <c r="K225">
        <v>23</v>
      </c>
      <c r="L225">
        <v>0.27</v>
      </c>
      <c r="M225">
        <v>0</v>
      </c>
      <c r="N225">
        <v>746501.09</v>
      </c>
      <c r="O225">
        <v>136816.72</v>
      </c>
      <c r="P225">
        <f t="shared" si="25"/>
        <v>0</v>
      </c>
      <c r="Q225">
        <f t="shared" si="26"/>
        <v>0</v>
      </c>
      <c r="R225">
        <f t="shared" si="27"/>
        <v>1</v>
      </c>
      <c r="S225">
        <f t="shared" si="28"/>
        <v>0</v>
      </c>
      <c r="T225">
        <f t="shared" si="29"/>
        <v>0</v>
      </c>
      <c r="U225">
        <f t="shared" si="30"/>
        <v>765367.47298664041</v>
      </c>
      <c r="V225">
        <f t="shared" si="31"/>
        <v>-18866.382986640441</v>
      </c>
    </row>
    <row r="226" spans="1:22">
      <c r="A226" t="s">
        <v>68</v>
      </c>
      <c r="B226" s="3">
        <v>45658</v>
      </c>
      <c r="C226" t="s">
        <v>20</v>
      </c>
      <c r="D226" t="s">
        <v>18</v>
      </c>
      <c r="E226">
        <v>71941.62</v>
      </c>
      <c r="F226">
        <v>6084</v>
      </c>
      <c r="G226">
        <v>93.7</v>
      </c>
      <c r="H226">
        <v>4.4000000000000004</v>
      </c>
      <c r="I226">
        <f t="shared" si="24"/>
        <v>0</v>
      </c>
      <c r="J226">
        <v>7.1999999999999995E-2</v>
      </c>
      <c r="K226">
        <v>13</v>
      </c>
      <c r="L226">
        <v>2.34</v>
      </c>
      <c r="M226">
        <v>0</v>
      </c>
      <c r="N226">
        <v>681855.56</v>
      </c>
      <c r="O226">
        <v>117645.61</v>
      </c>
      <c r="P226">
        <f t="shared" si="25"/>
        <v>1</v>
      </c>
      <c r="Q226">
        <f t="shared" si="26"/>
        <v>0</v>
      </c>
      <c r="R226">
        <f t="shared" si="27"/>
        <v>0</v>
      </c>
      <c r="S226">
        <f t="shared" si="28"/>
        <v>0</v>
      </c>
      <c r="T226">
        <f t="shared" si="29"/>
        <v>1</v>
      </c>
      <c r="U226">
        <f t="shared" si="30"/>
        <v>700770.08855612692</v>
      </c>
      <c r="V226">
        <f t="shared" si="31"/>
        <v>-18914.528556126868</v>
      </c>
    </row>
    <row r="227" spans="1:22">
      <c r="A227" t="s">
        <v>72</v>
      </c>
      <c r="B227" s="3">
        <v>45748</v>
      </c>
      <c r="C227" t="s">
        <v>15</v>
      </c>
      <c r="D227" t="s">
        <v>21</v>
      </c>
      <c r="E227">
        <v>64104.28</v>
      </c>
      <c r="F227">
        <v>6015</v>
      </c>
      <c r="G227">
        <v>88.7</v>
      </c>
      <c r="H227">
        <v>4</v>
      </c>
      <c r="I227">
        <f t="shared" si="24"/>
        <v>0</v>
      </c>
      <c r="J227">
        <v>0.127</v>
      </c>
      <c r="K227">
        <v>15</v>
      </c>
      <c r="L227">
        <v>0.78</v>
      </c>
      <c r="M227">
        <v>0</v>
      </c>
      <c r="N227">
        <v>650795.49</v>
      </c>
      <c r="O227">
        <v>103035.89</v>
      </c>
      <c r="P227">
        <f t="shared" si="25"/>
        <v>0</v>
      </c>
      <c r="Q227">
        <f t="shared" si="26"/>
        <v>0</v>
      </c>
      <c r="R227">
        <f t="shared" si="27"/>
        <v>1</v>
      </c>
      <c r="S227">
        <f t="shared" si="28"/>
        <v>1</v>
      </c>
      <c r="T227">
        <f t="shared" si="29"/>
        <v>0</v>
      </c>
      <c r="U227">
        <f t="shared" si="30"/>
        <v>669775.78760058642</v>
      </c>
      <c r="V227">
        <f t="shared" si="31"/>
        <v>-18980.297600586433</v>
      </c>
    </row>
    <row r="228" spans="1:22">
      <c r="A228" t="s">
        <v>69</v>
      </c>
      <c r="B228" s="3">
        <v>45717</v>
      </c>
      <c r="C228" t="s">
        <v>15</v>
      </c>
      <c r="D228" t="s">
        <v>18</v>
      </c>
      <c r="E228">
        <v>37705.879999999997</v>
      </c>
      <c r="F228">
        <v>1268</v>
      </c>
      <c r="G228">
        <v>84.1</v>
      </c>
      <c r="H228">
        <v>3.8</v>
      </c>
      <c r="I228">
        <f t="shared" si="24"/>
        <v>0</v>
      </c>
      <c r="J228">
        <v>0.25900000000000001</v>
      </c>
      <c r="K228">
        <v>9</v>
      </c>
      <c r="L228">
        <v>4.7699999999999996</v>
      </c>
      <c r="M228">
        <v>0</v>
      </c>
      <c r="N228">
        <v>443275.59</v>
      </c>
      <c r="O228">
        <v>53544.36</v>
      </c>
      <c r="P228">
        <f t="shared" si="25"/>
        <v>0</v>
      </c>
      <c r="Q228">
        <f t="shared" si="26"/>
        <v>0</v>
      </c>
      <c r="R228">
        <f t="shared" si="27"/>
        <v>1</v>
      </c>
      <c r="S228">
        <f t="shared" si="28"/>
        <v>0</v>
      </c>
      <c r="T228">
        <f t="shared" si="29"/>
        <v>1</v>
      </c>
      <c r="U228">
        <f t="shared" si="30"/>
        <v>462277.02807935554</v>
      </c>
      <c r="V228">
        <f t="shared" si="31"/>
        <v>-19001.438079355517</v>
      </c>
    </row>
    <row r="229" spans="1:22">
      <c r="A229" t="s">
        <v>97</v>
      </c>
      <c r="B229" s="3">
        <v>45717</v>
      </c>
      <c r="C229" t="s">
        <v>20</v>
      </c>
      <c r="D229" t="s">
        <v>28</v>
      </c>
      <c r="E229">
        <v>52843.75</v>
      </c>
      <c r="F229">
        <v>8268</v>
      </c>
      <c r="G229">
        <v>87.3</v>
      </c>
      <c r="H229">
        <v>4.7</v>
      </c>
      <c r="I229">
        <f t="shared" si="24"/>
        <v>1</v>
      </c>
      <c r="J229">
        <v>0.13800000000000001</v>
      </c>
      <c r="K229">
        <v>19</v>
      </c>
      <c r="L229">
        <v>4.3899999999999997</v>
      </c>
      <c r="M229">
        <v>1</v>
      </c>
      <c r="N229">
        <v>730890.01</v>
      </c>
      <c r="O229">
        <v>105502.56</v>
      </c>
      <c r="P229">
        <f t="shared" si="25"/>
        <v>1</v>
      </c>
      <c r="Q229">
        <f t="shared" si="26"/>
        <v>0</v>
      </c>
      <c r="R229">
        <f t="shared" si="27"/>
        <v>0</v>
      </c>
      <c r="S229">
        <f t="shared" si="28"/>
        <v>0</v>
      </c>
      <c r="T229">
        <f t="shared" si="29"/>
        <v>0</v>
      </c>
      <c r="U229">
        <f t="shared" si="30"/>
        <v>750702.60778388125</v>
      </c>
      <c r="V229">
        <f t="shared" si="31"/>
        <v>-19812.59778388124</v>
      </c>
    </row>
    <row r="230" spans="1:22">
      <c r="A230" t="s">
        <v>23</v>
      </c>
      <c r="B230" s="3">
        <v>45717</v>
      </c>
      <c r="C230" t="s">
        <v>24</v>
      </c>
      <c r="D230" t="s">
        <v>16</v>
      </c>
      <c r="E230">
        <v>78831.12</v>
      </c>
      <c r="F230">
        <v>5538</v>
      </c>
      <c r="G230">
        <v>94.1</v>
      </c>
      <c r="H230">
        <v>3.9</v>
      </c>
      <c r="I230">
        <f t="shared" si="24"/>
        <v>0</v>
      </c>
      <c r="J230">
        <v>0</v>
      </c>
      <c r="K230">
        <v>15</v>
      </c>
      <c r="L230">
        <v>0.2</v>
      </c>
      <c r="M230">
        <v>0</v>
      </c>
      <c r="N230">
        <v>666573.19999999995</v>
      </c>
      <c r="O230">
        <v>140641.01999999999</v>
      </c>
      <c r="P230">
        <f t="shared" si="25"/>
        <v>0</v>
      </c>
      <c r="Q230">
        <f t="shared" si="26"/>
        <v>1</v>
      </c>
      <c r="R230">
        <f t="shared" si="27"/>
        <v>0</v>
      </c>
      <c r="S230">
        <f t="shared" si="28"/>
        <v>0</v>
      </c>
      <c r="T230">
        <f t="shared" si="29"/>
        <v>0</v>
      </c>
      <c r="U230">
        <f t="shared" si="30"/>
        <v>686533.74792616337</v>
      </c>
      <c r="V230">
        <f t="shared" si="31"/>
        <v>-19960.547926163417</v>
      </c>
    </row>
    <row r="231" spans="1:22">
      <c r="A231" t="s">
        <v>25</v>
      </c>
      <c r="B231" s="3">
        <v>45689</v>
      </c>
      <c r="C231" t="s">
        <v>20</v>
      </c>
      <c r="D231" t="s">
        <v>16</v>
      </c>
      <c r="E231">
        <v>33518.879999999997</v>
      </c>
      <c r="F231">
        <v>2121</v>
      </c>
      <c r="G231">
        <v>88.5</v>
      </c>
      <c r="H231">
        <v>5</v>
      </c>
      <c r="I231">
        <f t="shared" si="24"/>
        <v>0</v>
      </c>
      <c r="J231">
        <v>0.17599999999999999</v>
      </c>
      <c r="K231">
        <v>8</v>
      </c>
      <c r="L231">
        <v>0.2</v>
      </c>
      <c r="M231">
        <v>0</v>
      </c>
      <c r="N231">
        <v>491905.13</v>
      </c>
      <c r="O231">
        <v>79212.259999999995</v>
      </c>
      <c r="P231">
        <f t="shared" si="25"/>
        <v>1</v>
      </c>
      <c r="Q231">
        <f t="shared" si="26"/>
        <v>0</v>
      </c>
      <c r="R231">
        <f t="shared" si="27"/>
        <v>0</v>
      </c>
      <c r="S231">
        <f t="shared" si="28"/>
        <v>0</v>
      </c>
      <c r="T231">
        <f t="shared" si="29"/>
        <v>0</v>
      </c>
      <c r="U231">
        <f t="shared" si="30"/>
        <v>511961.14641433657</v>
      </c>
      <c r="V231">
        <f t="shared" si="31"/>
        <v>-20056.016414336569</v>
      </c>
    </row>
    <row r="232" spans="1:22">
      <c r="A232" t="s">
        <v>45</v>
      </c>
      <c r="B232" s="3">
        <v>45748</v>
      </c>
      <c r="C232" t="s">
        <v>27</v>
      </c>
      <c r="D232" t="s">
        <v>16</v>
      </c>
      <c r="E232">
        <v>9534.65</v>
      </c>
      <c r="F232">
        <v>6057</v>
      </c>
      <c r="G232">
        <v>94.1</v>
      </c>
      <c r="H232">
        <v>4.5</v>
      </c>
      <c r="I232">
        <f t="shared" si="24"/>
        <v>0</v>
      </c>
      <c r="J232">
        <v>7.3999999999999996E-2</v>
      </c>
      <c r="K232">
        <v>15</v>
      </c>
      <c r="L232">
        <v>5.79</v>
      </c>
      <c r="M232">
        <v>0</v>
      </c>
      <c r="N232">
        <v>607898.12</v>
      </c>
      <c r="O232">
        <v>135404.85</v>
      </c>
      <c r="P232">
        <f t="shared" si="25"/>
        <v>0</v>
      </c>
      <c r="Q232">
        <f t="shared" si="26"/>
        <v>0</v>
      </c>
      <c r="R232">
        <f t="shared" si="27"/>
        <v>0</v>
      </c>
      <c r="S232">
        <f t="shared" si="28"/>
        <v>0</v>
      </c>
      <c r="T232">
        <f t="shared" si="29"/>
        <v>0</v>
      </c>
      <c r="U232">
        <f t="shared" si="30"/>
        <v>628072.20580670959</v>
      </c>
      <c r="V232">
        <f t="shared" si="31"/>
        <v>-20174.085806709598</v>
      </c>
    </row>
    <row r="233" spans="1:22">
      <c r="A233" t="s">
        <v>26</v>
      </c>
      <c r="B233" s="3">
        <v>45658</v>
      </c>
      <c r="C233" t="s">
        <v>27</v>
      </c>
      <c r="D233" t="s">
        <v>28</v>
      </c>
      <c r="E233">
        <v>57696.69</v>
      </c>
      <c r="F233">
        <v>10218</v>
      </c>
      <c r="G233">
        <v>94.8</v>
      </c>
      <c r="H233">
        <v>3.5</v>
      </c>
      <c r="I233">
        <f t="shared" si="24"/>
        <v>1</v>
      </c>
      <c r="J233">
        <v>0.121</v>
      </c>
      <c r="K233">
        <v>25</v>
      </c>
      <c r="L233">
        <v>2.99</v>
      </c>
      <c r="M233">
        <v>0</v>
      </c>
      <c r="N233">
        <v>811771.14</v>
      </c>
      <c r="O233">
        <v>148756.24</v>
      </c>
      <c r="P233">
        <f t="shared" si="25"/>
        <v>0</v>
      </c>
      <c r="Q233">
        <f t="shared" si="26"/>
        <v>0</v>
      </c>
      <c r="R233">
        <f t="shared" si="27"/>
        <v>0</v>
      </c>
      <c r="S233">
        <f t="shared" si="28"/>
        <v>0</v>
      </c>
      <c r="T233">
        <f t="shared" si="29"/>
        <v>0</v>
      </c>
      <c r="U233">
        <f t="shared" si="30"/>
        <v>832524.41525650898</v>
      </c>
      <c r="V233">
        <f t="shared" si="31"/>
        <v>-20753.275256508961</v>
      </c>
    </row>
    <row r="234" spans="1:22">
      <c r="A234" t="s">
        <v>64</v>
      </c>
      <c r="B234" s="3">
        <v>45748</v>
      </c>
      <c r="C234" t="s">
        <v>15</v>
      </c>
      <c r="D234" t="s">
        <v>16</v>
      </c>
      <c r="E234">
        <v>36606.51</v>
      </c>
      <c r="F234">
        <v>7671</v>
      </c>
      <c r="G234">
        <v>89.8</v>
      </c>
      <c r="H234">
        <v>4.4000000000000004</v>
      </c>
      <c r="I234">
        <f t="shared" si="24"/>
        <v>0</v>
      </c>
      <c r="J234">
        <v>0.11799999999999999</v>
      </c>
      <c r="K234">
        <v>18</v>
      </c>
      <c r="L234">
        <v>0.25</v>
      </c>
      <c r="M234">
        <v>0</v>
      </c>
      <c r="N234">
        <v>679731.57</v>
      </c>
      <c r="O234">
        <v>121546.42</v>
      </c>
      <c r="P234">
        <f t="shared" si="25"/>
        <v>0</v>
      </c>
      <c r="Q234">
        <f t="shared" si="26"/>
        <v>0</v>
      </c>
      <c r="R234">
        <f t="shared" si="27"/>
        <v>1</v>
      </c>
      <c r="S234">
        <f t="shared" si="28"/>
        <v>0</v>
      </c>
      <c r="T234">
        <f t="shared" si="29"/>
        <v>0</v>
      </c>
      <c r="U234">
        <f t="shared" si="30"/>
        <v>700516.95767957938</v>
      </c>
      <c r="V234">
        <f t="shared" si="31"/>
        <v>-20785.387679579435</v>
      </c>
    </row>
    <row r="235" spans="1:22">
      <c r="A235" t="s">
        <v>29</v>
      </c>
      <c r="B235" s="3">
        <v>45717</v>
      </c>
      <c r="C235" t="s">
        <v>15</v>
      </c>
      <c r="D235" t="s">
        <v>16</v>
      </c>
      <c r="E235">
        <v>44970.080000000002</v>
      </c>
      <c r="F235">
        <v>2471</v>
      </c>
      <c r="G235">
        <v>87.6</v>
      </c>
      <c r="H235">
        <v>3.7</v>
      </c>
      <c r="I235">
        <f t="shared" si="24"/>
        <v>0</v>
      </c>
      <c r="J235">
        <v>0.13600000000000001</v>
      </c>
      <c r="K235">
        <v>11</v>
      </c>
      <c r="L235">
        <v>3.01</v>
      </c>
      <c r="M235">
        <v>1</v>
      </c>
      <c r="N235">
        <v>500173.02</v>
      </c>
      <c r="O235">
        <v>70982.05</v>
      </c>
      <c r="P235">
        <f t="shared" si="25"/>
        <v>0</v>
      </c>
      <c r="Q235">
        <f t="shared" si="26"/>
        <v>0</v>
      </c>
      <c r="R235">
        <f t="shared" si="27"/>
        <v>1</v>
      </c>
      <c r="S235">
        <f t="shared" si="28"/>
        <v>0</v>
      </c>
      <c r="T235">
        <f t="shared" si="29"/>
        <v>0</v>
      </c>
      <c r="U235">
        <f t="shared" si="30"/>
        <v>521068.83027615101</v>
      </c>
      <c r="V235">
        <f t="shared" si="31"/>
        <v>-20895.810276150994</v>
      </c>
    </row>
    <row r="236" spans="1:22">
      <c r="A236" t="s">
        <v>92</v>
      </c>
      <c r="B236" s="3">
        <v>45689</v>
      </c>
      <c r="C236" t="s">
        <v>24</v>
      </c>
      <c r="D236" t="s">
        <v>18</v>
      </c>
      <c r="E236">
        <v>34771.26</v>
      </c>
      <c r="F236">
        <v>4355</v>
      </c>
      <c r="G236">
        <v>87.9</v>
      </c>
      <c r="H236">
        <v>4</v>
      </c>
      <c r="I236">
        <f t="shared" si="24"/>
        <v>0</v>
      </c>
      <c r="J236">
        <v>5.0999999999999997E-2</v>
      </c>
      <c r="K236">
        <v>15</v>
      </c>
      <c r="L236">
        <v>3.09</v>
      </c>
      <c r="M236">
        <v>0</v>
      </c>
      <c r="N236">
        <v>555557.77</v>
      </c>
      <c r="O236">
        <v>86475.51</v>
      </c>
      <c r="P236">
        <f t="shared" si="25"/>
        <v>0</v>
      </c>
      <c r="Q236">
        <f t="shared" si="26"/>
        <v>1</v>
      </c>
      <c r="R236">
        <f t="shared" si="27"/>
        <v>0</v>
      </c>
      <c r="S236">
        <f t="shared" si="28"/>
        <v>0</v>
      </c>
      <c r="T236">
        <f t="shared" si="29"/>
        <v>1</v>
      </c>
      <c r="U236">
        <f t="shared" si="30"/>
        <v>576551.0924428876</v>
      </c>
      <c r="V236">
        <f t="shared" si="31"/>
        <v>-20993.322442887584</v>
      </c>
    </row>
    <row r="237" spans="1:22">
      <c r="A237" t="s">
        <v>55</v>
      </c>
      <c r="B237" s="3">
        <v>45748</v>
      </c>
      <c r="C237" t="s">
        <v>20</v>
      </c>
      <c r="D237" t="s">
        <v>18</v>
      </c>
      <c r="E237">
        <v>70366.759999999995</v>
      </c>
      <c r="F237">
        <v>1963</v>
      </c>
      <c r="G237">
        <v>89.8</v>
      </c>
      <c r="H237">
        <v>4.5999999999999996</v>
      </c>
      <c r="I237">
        <f t="shared" si="24"/>
        <v>0</v>
      </c>
      <c r="J237">
        <v>0.182</v>
      </c>
      <c r="K237">
        <v>8</v>
      </c>
      <c r="L237">
        <v>3.2</v>
      </c>
      <c r="M237">
        <v>0</v>
      </c>
      <c r="N237">
        <v>529075.94999999995</v>
      </c>
      <c r="O237">
        <v>95978.83</v>
      </c>
      <c r="P237">
        <f t="shared" si="25"/>
        <v>1</v>
      </c>
      <c r="Q237">
        <f t="shared" si="26"/>
        <v>0</v>
      </c>
      <c r="R237">
        <f t="shared" si="27"/>
        <v>0</v>
      </c>
      <c r="S237">
        <f t="shared" si="28"/>
        <v>0</v>
      </c>
      <c r="T237">
        <f t="shared" si="29"/>
        <v>1</v>
      </c>
      <c r="U237">
        <f t="shared" si="30"/>
        <v>550134.91080894612</v>
      </c>
      <c r="V237">
        <f t="shared" si="31"/>
        <v>-21058.960808946169</v>
      </c>
    </row>
    <row r="238" spans="1:22">
      <c r="A238" t="s">
        <v>39</v>
      </c>
      <c r="B238" s="3">
        <v>45689</v>
      </c>
      <c r="C238" t="s">
        <v>15</v>
      </c>
      <c r="D238" t="s">
        <v>18</v>
      </c>
      <c r="E238">
        <v>36813.449999999997</v>
      </c>
      <c r="F238">
        <v>2834</v>
      </c>
      <c r="G238">
        <v>81.8</v>
      </c>
      <c r="H238">
        <v>3.3</v>
      </c>
      <c r="I238">
        <f t="shared" si="24"/>
        <v>0</v>
      </c>
      <c r="J238">
        <v>0.191</v>
      </c>
      <c r="K238">
        <v>11</v>
      </c>
      <c r="L238">
        <v>2.33</v>
      </c>
      <c r="M238">
        <v>0</v>
      </c>
      <c r="N238">
        <v>479050.5</v>
      </c>
      <c r="O238">
        <v>53651.11</v>
      </c>
      <c r="P238">
        <f t="shared" si="25"/>
        <v>0</v>
      </c>
      <c r="Q238">
        <f t="shared" si="26"/>
        <v>0</v>
      </c>
      <c r="R238">
        <f t="shared" si="27"/>
        <v>1</v>
      </c>
      <c r="S238">
        <f t="shared" si="28"/>
        <v>0</v>
      </c>
      <c r="T238">
        <f t="shared" si="29"/>
        <v>1</v>
      </c>
      <c r="U238">
        <f t="shared" si="30"/>
        <v>501834.5244200551</v>
      </c>
      <c r="V238">
        <f t="shared" si="31"/>
        <v>-22784.024420055095</v>
      </c>
    </row>
    <row r="239" spans="1:22">
      <c r="A239" t="s">
        <v>60</v>
      </c>
      <c r="B239" s="3">
        <v>45658</v>
      </c>
      <c r="C239" t="s">
        <v>15</v>
      </c>
      <c r="D239" t="s">
        <v>18</v>
      </c>
      <c r="E239">
        <v>75645.23</v>
      </c>
      <c r="F239">
        <v>9674</v>
      </c>
      <c r="G239">
        <v>87.4</v>
      </c>
      <c r="H239">
        <v>4.5</v>
      </c>
      <c r="I239">
        <f t="shared" si="24"/>
        <v>0</v>
      </c>
      <c r="J239">
        <v>0.23400000000000001</v>
      </c>
      <c r="K239">
        <v>21</v>
      </c>
      <c r="L239">
        <v>0.2</v>
      </c>
      <c r="M239">
        <v>0</v>
      </c>
      <c r="N239">
        <v>785028.25</v>
      </c>
      <c r="O239">
        <v>110726.44</v>
      </c>
      <c r="P239">
        <f t="shared" si="25"/>
        <v>0</v>
      </c>
      <c r="Q239">
        <f t="shared" si="26"/>
        <v>0</v>
      </c>
      <c r="R239">
        <f t="shared" si="27"/>
        <v>1</v>
      </c>
      <c r="S239">
        <f t="shared" si="28"/>
        <v>0</v>
      </c>
      <c r="T239">
        <f t="shared" si="29"/>
        <v>1</v>
      </c>
      <c r="U239">
        <f t="shared" si="30"/>
        <v>808140.81170593412</v>
      </c>
      <c r="V239">
        <f t="shared" si="31"/>
        <v>-23112.561705934117</v>
      </c>
    </row>
    <row r="240" spans="1:22">
      <c r="A240" t="s">
        <v>73</v>
      </c>
      <c r="B240" s="3">
        <v>45658</v>
      </c>
      <c r="C240" t="s">
        <v>15</v>
      </c>
      <c r="D240" t="s">
        <v>28</v>
      </c>
      <c r="E240">
        <v>92090.14</v>
      </c>
      <c r="F240">
        <v>9476</v>
      </c>
      <c r="G240">
        <v>94.3</v>
      </c>
      <c r="H240">
        <v>3.7</v>
      </c>
      <c r="I240">
        <f t="shared" si="24"/>
        <v>1</v>
      </c>
      <c r="J240">
        <v>7.0000000000000007E-2</v>
      </c>
      <c r="K240">
        <v>24</v>
      </c>
      <c r="L240">
        <v>0.87</v>
      </c>
      <c r="M240">
        <v>0</v>
      </c>
      <c r="N240">
        <v>825060.52</v>
      </c>
      <c r="O240">
        <v>143613.15</v>
      </c>
      <c r="P240">
        <f t="shared" si="25"/>
        <v>0</v>
      </c>
      <c r="Q240">
        <f t="shared" si="26"/>
        <v>0</v>
      </c>
      <c r="R240">
        <f t="shared" si="27"/>
        <v>1</v>
      </c>
      <c r="S240">
        <f t="shared" si="28"/>
        <v>0</v>
      </c>
      <c r="T240">
        <f t="shared" si="29"/>
        <v>0</v>
      </c>
      <c r="U240">
        <f t="shared" si="30"/>
        <v>848869.74566232413</v>
      </c>
      <c r="V240">
        <f t="shared" si="31"/>
        <v>-23809.225662324112</v>
      </c>
    </row>
    <row r="241" spans="1:22">
      <c r="A241" t="s">
        <v>23</v>
      </c>
      <c r="B241" s="3">
        <v>45689</v>
      </c>
      <c r="C241" t="s">
        <v>24</v>
      </c>
      <c r="D241" t="s">
        <v>16</v>
      </c>
      <c r="E241">
        <v>59117.9</v>
      </c>
      <c r="F241">
        <v>4263</v>
      </c>
      <c r="G241">
        <v>87.6</v>
      </c>
      <c r="H241">
        <v>3.6</v>
      </c>
      <c r="I241">
        <f t="shared" si="24"/>
        <v>0</v>
      </c>
      <c r="J241">
        <v>0.11899999999999999</v>
      </c>
      <c r="K241">
        <v>9</v>
      </c>
      <c r="L241">
        <v>4.01</v>
      </c>
      <c r="M241">
        <v>0</v>
      </c>
      <c r="N241">
        <v>573155.18999999994</v>
      </c>
      <c r="O241">
        <v>83680.75</v>
      </c>
      <c r="P241">
        <f t="shared" si="25"/>
        <v>0</v>
      </c>
      <c r="Q241">
        <f t="shared" si="26"/>
        <v>1</v>
      </c>
      <c r="R241">
        <f t="shared" si="27"/>
        <v>0</v>
      </c>
      <c r="S241">
        <f t="shared" si="28"/>
        <v>0</v>
      </c>
      <c r="T241">
        <f t="shared" si="29"/>
        <v>0</v>
      </c>
      <c r="U241">
        <f t="shared" si="30"/>
        <v>597254.5114813773</v>
      </c>
      <c r="V241">
        <f t="shared" si="31"/>
        <v>-24099.321481377352</v>
      </c>
    </row>
    <row r="242" spans="1:22">
      <c r="A242" t="s">
        <v>17</v>
      </c>
      <c r="B242" s="3">
        <v>45689</v>
      </c>
      <c r="C242" t="s">
        <v>15</v>
      </c>
      <c r="D242" t="s">
        <v>18</v>
      </c>
      <c r="E242">
        <v>64811.21</v>
      </c>
      <c r="F242">
        <v>9792</v>
      </c>
      <c r="G242">
        <v>84.2</v>
      </c>
      <c r="H242">
        <v>4.2</v>
      </c>
      <c r="I242">
        <f t="shared" si="24"/>
        <v>0</v>
      </c>
      <c r="J242">
        <v>0.112</v>
      </c>
      <c r="K242">
        <v>20</v>
      </c>
      <c r="L242">
        <v>2.88</v>
      </c>
      <c r="M242">
        <v>0</v>
      </c>
      <c r="N242">
        <v>761835.34</v>
      </c>
      <c r="O242">
        <v>149602.23000000001</v>
      </c>
      <c r="P242">
        <f t="shared" si="25"/>
        <v>0</v>
      </c>
      <c r="Q242">
        <f t="shared" si="26"/>
        <v>0</v>
      </c>
      <c r="R242">
        <f t="shared" si="27"/>
        <v>1</v>
      </c>
      <c r="S242">
        <f t="shared" si="28"/>
        <v>0</v>
      </c>
      <c r="T242">
        <f t="shared" si="29"/>
        <v>1</v>
      </c>
      <c r="U242">
        <f t="shared" si="30"/>
        <v>786412.17712144821</v>
      </c>
      <c r="V242">
        <f t="shared" si="31"/>
        <v>-24576.837121448247</v>
      </c>
    </row>
    <row r="243" spans="1:22">
      <c r="A243" t="s">
        <v>65</v>
      </c>
      <c r="B243" s="3">
        <v>45717</v>
      </c>
      <c r="C243" t="s">
        <v>15</v>
      </c>
      <c r="D243" t="s">
        <v>16</v>
      </c>
      <c r="E243">
        <v>68040.149999999994</v>
      </c>
      <c r="F243">
        <v>9826</v>
      </c>
      <c r="G243">
        <v>83.9</v>
      </c>
      <c r="H243">
        <v>3.6</v>
      </c>
      <c r="I243">
        <f t="shared" si="24"/>
        <v>0</v>
      </c>
      <c r="J243">
        <v>0.125</v>
      </c>
      <c r="K243">
        <v>20</v>
      </c>
      <c r="L243">
        <v>9.1199999999999992</v>
      </c>
      <c r="M243">
        <v>0</v>
      </c>
      <c r="N243">
        <v>758138.29</v>
      </c>
      <c r="O243">
        <v>132975.26</v>
      </c>
      <c r="P243">
        <f t="shared" si="25"/>
        <v>0</v>
      </c>
      <c r="Q243">
        <f t="shared" si="26"/>
        <v>0</v>
      </c>
      <c r="R243">
        <f t="shared" si="27"/>
        <v>1</v>
      </c>
      <c r="S243">
        <f t="shared" si="28"/>
        <v>0</v>
      </c>
      <c r="T243">
        <f t="shared" si="29"/>
        <v>0</v>
      </c>
      <c r="U243">
        <f t="shared" si="30"/>
        <v>784225.0924923881</v>
      </c>
      <c r="V243">
        <f t="shared" si="31"/>
        <v>-26086.802492388058</v>
      </c>
    </row>
    <row r="244" spans="1:22">
      <c r="A244" t="s">
        <v>43</v>
      </c>
      <c r="B244" s="3">
        <v>45689</v>
      </c>
      <c r="C244" t="s">
        <v>27</v>
      </c>
      <c r="D244" t="s">
        <v>18</v>
      </c>
      <c r="E244">
        <v>88443.77</v>
      </c>
      <c r="F244">
        <v>4004</v>
      </c>
      <c r="G244">
        <v>91.9</v>
      </c>
      <c r="H244" s="6">
        <v>3.92</v>
      </c>
      <c r="I244">
        <f t="shared" si="24"/>
        <v>0</v>
      </c>
      <c r="J244">
        <v>0.20599999999999999</v>
      </c>
      <c r="K244">
        <v>11</v>
      </c>
      <c r="L244">
        <v>5.95</v>
      </c>
      <c r="M244">
        <v>0</v>
      </c>
      <c r="N244">
        <v>611766.72</v>
      </c>
      <c r="O244">
        <v>88275.61</v>
      </c>
      <c r="P244">
        <f t="shared" si="25"/>
        <v>0</v>
      </c>
      <c r="Q244">
        <f t="shared" si="26"/>
        <v>0</v>
      </c>
      <c r="R244">
        <f t="shared" si="27"/>
        <v>0</v>
      </c>
      <c r="S244">
        <f t="shared" si="28"/>
        <v>0</v>
      </c>
      <c r="T244">
        <f t="shared" si="29"/>
        <v>1</v>
      </c>
      <c r="U244">
        <f t="shared" si="30"/>
        <v>639720.14708950906</v>
      </c>
      <c r="V244">
        <f t="shared" si="31"/>
        <v>-27953.427089509089</v>
      </c>
    </row>
    <row r="245" spans="1:22">
      <c r="A245" t="s">
        <v>97</v>
      </c>
      <c r="B245" s="3">
        <v>45658</v>
      </c>
      <c r="C245" t="s">
        <v>20</v>
      </c>
      <c r="D245" t="s">
        <v>28</v>
      </c>
      <c r="E245">
        <v>40647.67</v>
      </c>
      <c r="F245">
        <v>8252</v>
      </c>
      <c r="G245">
        <v>88.2</v>
      </c>
      <c r="H245">
        <v>4.0999999999999996</v>
      </c>
      <c r="I245">
        <f t="shared" si="24"/>
        <v>1</v>
      </c>
      <c r="J245">
        <v>0.14099999999999999</v>
      </c>
      <c r="K245">
        <v>22</v>
      </c>
      <c r="L245">
        <v>5.07</v>
      </c>
      <c r="M245">
        <v>1</v>
      </c>
      <c r="N245">
        <v>703812.99</v>
      </c>
      <c r="O245">
        <v>133577.98000000001</v>
      </c>
      <c r="P245">
        <f t="shared" si="25"/>
        <v>1</v>
      </c>
      <c r="Q245">
        <f t="shared" si="26"/>
        <v>0</v>
      </c>
      <c r="R245">
        <f t="shared" si="27"/>
        <v>0</v>
      </c>
      <c r="S245">
        <f t="shared" si="28"/>
        <v>0</v>
      </c>
      <c r="T245">
        <f t="shared" si="29"/>
        <v>0</v>
      </c>
      <c r="U245">
        <f t="shared" si="30"/>
        <v>732175.30432701821</v>
      </c>
      <c r="V245">
        <f t="shared" si="31"/>
        <v>-28362.314327018219</v>
      </c>
    </row>
    <row r="246" spans="1:22">
      <c r="A246" t="s">
        <v>83</v>
      </c>
      <c r="B246" s="3">
        <v>45717</v>
      </c>
      <c r="C246" t="s">
        <v>15</v>
      </c>
      <c r="D246" t="s">
        <v>18</v>
      </c>
      <c r="E246">
        <v>57390.04</v>
      </c>
      <c r="F246">
        <v>7374</v>
      </c>
      <c r="G246">
        <v>91.8</v>
      </c>
      <c r="H246">
        <v>3.1</v>
      </c>
      <c r="I246">
        <f t="shared" si="24"/>
        <v>0</v>
      </c>
      <c r="J246">
        <v>0.21</v>
      </c>
      <c r="K246">
        <v>21</v>
      </c>
      <c r="L246">
        <v>0.2</v>
      </c>
      <c r="M246">
        <v>0</v>
      </c>
      <c r="N246">
        <v>679230.86</v>
      </c>
      <c r="O246">
        <v>106927.58</v>
      </c>
      <c r="P246">
        <f t="shared" si="25"/>
        <v>0</v>
      </c>
      <c r="Q246">
        <f t="shared" si="26"/>
        <v>0</v>
      </c>
      <c r="R246">
        <f t="shared" si="27"/>
        <v>1</v>
      </c>
      <c r="S246">
        <f t="shared" si="28"/>
        <v>0</v>
      </c>
      <c r="T246">
        <f t="shared" si="29"/>
        <v>1</v>
      </c>
      <c r="U246">
        <f t="shared" si="30"/>
        <v>707690.65970788547</v>
      </c>
      <c r="V246">
        <f t="shared" si="31"/>
        <v>-28459.799707885482</v>
      </c>
    </row>
    <row r="247" spans="1:22">
      <c r="A247" t="s">
        <v>59</v>
      </c>
      <c r="B247" s="3">
        <v>45658</v>
      </c>
      <c r="C247" t="s">
        <v>24</v>
      </c>
      <c r="D247" t="s">
        <v>28</v>
      </c>
      <c r="E247">
        <v>51575.68</v>
      </c>
      <c r="F247">
        <v>5329</v>
      </c>
      <c r="G247">
        <v>88.1</v>
      </c>
      <c r="H247">
        <v>3.8</v>
      </c>
      <c r="I247">
        <f t="shared" si="24"/>
        <v>1</v>
      </c>
      <c r="J247">
        <v>4.7E-2</v>
      </c>
      <c r="K247">
        <v>17</v>
      </c>
      <c r="L247">
        <v>19.78</v>
      </c>
      <c r="M247">
        <v>0</v>
      </c>
      <c r="N247">
        <v>614024.91</v>
      </c>
      <c r="O247">
        <v>84828.93</v>
      </c>
      <c r="P247">
        <f t="shared" si="25"/>
        <v>0</v>
      </c>
      <c r="Q247">
        <f t="shared" si="26"/>
        <v>1</v>
      </c>
      <c r="R247">
        <f t="shared" si="27"/>
        <v>0</v>
      </c>
      <c r="S247">
        <f t="shared" si="28"/>
        <v>0</v>
      </c>
      <c r="T247">
        <f t="shared" si="29"/>
        <v>0</v>
      </c>
      <c r="U247">
        <f t="shared" si="30"/>
        <v>643122.22208671807</v>
      </c>
      <c r="V247">
        <f t="shared" si="31"/>
        <v>-29097.312086718041</v>
      </c>
    </row>
    <row r="248" spans="1:22">
      <c r="A248" t="s">
        <v>52</v>
      </c>
      <c r="B248" s="3">
        <v>45717</v>
      </c>
      <c r="C248" t="s">
        <v>20</v>
      </c>
      <c r="D248" t="s">
        <v>18</v>
      </c>
      <c r="E248">
        <v>48396.13</v>
      </c>
      <c r="F248">
        <v>4423</v>
      </c>
      <c r="G248">
        <v>85.7</v>
      </c>
      <c r="H248">
        <v>3.9</v>
      </c>
      <c r="I248">
        <f t="shared" si="24"/>
        <v>0</v>
      </c>
      <c r="J248">
        <v>6.9000000000000006E-2</v>
      </c>
      <c r="K248">
        <v>15</v>
      </c>
      <c r="L248">
        <v>1.88</v>
      </c>
      <c r="M248">
        <v>0</v>
      </c>
      <c r="N248">
        <v>557487.26</v>
      </c>
      <c r="O248">
        <v>76432.19</v>
      </c>
      <c r="P248">
        <f t="shared" si="25"/>
        <v>1</v>
      </c>
      <c r="Q248">
        <f t="shared" si="26"/>
        <v>0</v>
      </c>
      <c r="R248">
        <f t="shared" si="27"/>
        <v>0</v>
      </c>
      <c r="S248">
        <f t="shared" si="28"/>
        <v>0</v>
      </c>
      <c r="T248">
        <f t="shared" si="29"/>
        <v>1</v>
      </c>
      <c r="U248">
        <f t="shared" si="30"/>
        <v>587280.51081048232</v>
      </c>
      <c r="V248">
        <f t="shared" si="31"/>
        <v>-29793.250810482306</v>
      </c>
    </row>
    <row r="249" spans="1:22">
      <c r="A249" t="s">
        <v>58</v>
      </c>
      <c r="B249" s="3">
        <v>45689</v>
      </c>
      <c r="C249" t="s">
        <v>20</v>
      </c>
      <c r="D249" t="s">
        <v>16</v>
      </c>
      <c r="E249">
        <v>50909.27</v>
      </c>
      <c r="F249">
        <v>3152</v>
      </c>
      <c r="G249">
        <v>93.7</v>
      </c>
      <c r="H249">
        <v>3.5</v>
      </c>
      <c r="I249">
        <f t="shared" si="24"/>
        <v>0</v>
      </c>
      <c r="J249">
        <v>0.06</v>
      </c>
      <c r="K249">
        <v>13</v>
      </c>
      <c r="L249">
        <v>10.79</v>
      </c>
      <c r="M249">
        <v>0</v>
      </c>
      <c r="N249">
        <v>537058.32999999996</v>
      </c>
      <c r="O249">
        <v>93555.71</v>
      </c>
      <c r="P249">
        <f t="shared" si="25"/>
        <v>1</v>
      </c>
      <c r="Q249">
        <f t="shared" si="26"/>
        <v>0</v>
      </c>
      <c r="R249">
        <f t="shared" si="27"/>
        <v>0</v>
      </c>
      <c r="S249">
        <f t="shared" si="28"/>
        <v>0</v>
      </c>
      <c r="T249">
        <f t="shared" si="29"/>
        <v>0</v>
      </c>
      <c r="U249">
        <f t="shared" si="30"/>
        <v>567543.74639935745</v>
      </c>
      <c r="V249">
        <f t="shared" si="31"/>
        <v>-30485.416399357491</v>
      </c>
    </row>
    <row r="250" spans="1:22">
      <c r="A250" t="s">
        <v>49</v>
      </c>
      <c r="B250" s="3">
        <v>45717</v>
      </c>
      <c r="C250" t="s">
        <v>15</v>
      </c>
      <c r="D250" t="s">
        <v>28</v>
      </c>
      <c r="E250">
        <v>51056.15</v>
      </c>
      <c r="F250">
        <v>5686</v>
      </c>
      <c r="G250">
        <v>89.9</v>
      </c>
      <c r="H250">
        <v>4.2</v>
      </c>
      <c r="I250">
        <f t="shared" si="24"/>
        <v>1</v>
      </c>
      <c r="J250">
        <v>8.8999999999999996E-2</v>
      </c>
      <c r="K250">
        <v>13</v>
      </c>
      <c r="L250">
        <v>1.28</v>
      </c>
      <c r="M250">
        <v>0</v>
      </c>
      <c r="N250">
        <v>633494.21</v>
      </c>
      <c r="O250">
        <v>105739.47</v>
      </c>
      <c r="P250">
        <f t="shared" si="25"/>
        <v>0</v>
      </c>
      <c r="Q250">
        <f t="shared" si="26"/>
        <v>0</v>
      </c>
      <c r="R250">
        <f t="shared" si="27"/>
        <v>1</v>
      </c>
      <c r="S250">
        <f t="shared" si="28"/>
        <v>0</v>
      </c>
      <c r="T250">
        <f t="shared" si="29"/>
        <v>0</v>
      </c>
      <c r="U250">
        <f t="shared" si="30"/>
        <v>664187.36073458008</v>
      </c>
      <c r="V250">
        <f t="shared" si="31"/>
        <v>-30693.150734580122</v>
      </c>
    </row>
    <row r="251" spans="1:22">
      <c r="A251" t="s">
        <v>42</v>
      </c>
      <c r="B251" s="3">
        <v>45658</v>
      </c>
      <c r="C251" t="s">
        <v>27</v>
      </c>
      <c r="D251" t="s">
        <v>28</v>
      </c>
      <c r="E251">
        <v>60881.01</v>
      </c>
      <c r="F251">
        <v>5410</v>
      </c>
      <c r="G251">
        <v>83.9</v>
      </c>
      <c r="H251">
        <v>4.5999999999999996</v>
      </c>
      <c r="I251">
        <f t="shared" si="24"/>
        <v>1</v>
      </c>
      <c r="J251">
        <v>0.17899999999999999</v>
      </c>
      <c r="K251">
        <v>15</v>
      </c>
      <c r="L251">
        <v>5.24</v>
      </c>
      <c r="M251">
        <v>0</v>
      </c>
      <c r="N251">
        <v>621369.57999999996</v>
      </c>
      <c r="O251">
        <v>85493.64</v>
      </c>
      <c r="P251">
        <f t="shared" si="25"/>
        <v>0</v>
      </c>
      <c r="Q251">
        <f t="shared" si="26"/>
        <v>0</v>
      </c>
      <c r="R251">
        <f t="shared" si="27"/>
        <v>0</v>
      </c>
      <c r="S251">
        <f t="shared" si="28"/>
        <v>0</v>
      </c>
      <c r="T251">
        <f t="shared" si="29"/>
        <v>0</v>
      </c>
      <c r="U251">
        <f t="shared" si="30"/>
        <v>652464.7430788608</v>
      </c>
      <c r="V251">
        <f t="shared" si="31"/>
        <v>-31095.163078860845</v>
      </c>
    </row>
    <row r="252" spans="1:22">
      <c r="A252" t="s">
        <v>30</v>
      </c>
      <c r="B252" s="3">
        <v>45748</v>
      </c>
      <c r="C252" t="s">
        <v>20</v>
      </c>
      <c r="D252" t="s">
        <v>16</v>
      </c>
      <c r="E252">
        <v>52483.77</v>
      </c>
      <c r="F252">
        <v>10453</v>
      </c>
      <c r="G252">
        <v>99</v>
      </c>
      <c r="H252">
        <v>3.6</v>
      </c>
      <c r="I252">
        <f t="shared" si="24"/>
        <v>0</v>
      </c>
      <c r="J252">
        <v>0.247</v>
      </c>
      <c r="K252">
        <v>25</v>
      </c>
      <c r="L252">
        <v>6.31</v>
      </c>
      <c r="M252">
        <v>0</v>
      </c>
      <c r="N252">
        <v>800979.78</v>
      </c>
      <c r="O252">
        <v>149242.26999999999</v>
      </c>
      <c r="P252">
        <f t="shared" si="25"/>
        <v>1</v>
      </c>
      <c r="Q252">
        <f t="shared" si="26"/>
        <v>0</v>
      </c>
      <c r="R252">
        <f t="shared" si="27"/>
        <v>0</v>
      </c>
      <c r="S252">
        <f t="shared" si="28"/>
        <v>0</v>
      </c>
      <c r="T252">
        <f t="shared" si="29"/>
        <v>0</v>
      </c>
      <c r="U252">
        <f t="shared" si="30"/>
        <v>832817.6602996391</v>
      </c>
      <c r="V252">
        <f t="shared" si="31"/>
        <v>-31837.880299639073</v>
      </c>
    </row>
    <row r="253" spans="1:22">
      <c r="A253" t="s">
        <v>63</v>
      </c>
      <c r="B253" s="3">
        <v>45689</v>
      </c>
      <c r="C253" t="s">
        <v>20</v>
      </c>
      <c r="D253" t="s">
        <v>28</v>
      </c>
      <c r="E253">
        <v>35303.300000000003</v>
      </c>
      <c r="F253">
        <v>8789</v>
      </c>
      <c r="G253">
        <v>86.1</v>
      </c>
      <c r="H253">
        <v>4.2</v>
      </c>
      <c r="I253">
        <f t="shared" si="24"/>
        <v>1</v>
      </c>
      <c r="J253">
        <v>0.123</v>
      </c>
      <c r="K253">
        <v>22</v>
      </c>
      <c r="L253">
        <v>9.43</v>
      </c>
      <c r="M253">
        <v>0</v>
      </c>
      <c r="N253">
        <v>706285.52</v>
      </c>
      <c r="O253">
        <v>138014.72</v>
      </c>
      <c r="P253">
        <f t="shared" si="25"/>
        <v>1</v>
      </c>
      <c r="Q253">
        <f t="shared" si="26"/>
        <v>0</v>
      </c>
      <c r="R253">
        <f t="shared" si="27"/>
        <v>0</v>
      </c>
      <c r="S253">
        <f t="shared" si="28"/>
        <v>0</v>
      </c>
      <c r="T253">
        <f t="shared" si="29"/>
        <v>0</v>
      </c>
      <c r="U253">
        <f t="shared" si="30"/>
        <v>738604.89963572705</v>
      </c>
      <c r="V253">
        <f t="shared" si="31"/>
        <v>-32319.379635727033</v>
      </c>
    </row>
    <row r="254" spans="1:22">
      <c r="A254" t="s">
        <v>65</v>
      </c>
      <c r="B254" s="3">
        <v>45689</v>
      </c>
      <c r="C254" t="s">
        <v>15</v>
      </c>
      <c r="D254" t="s">
        <v>16</v>
      </c>
      <c r="E254">
        <v>43645.98</v>
      </c>
      <c r="F254">
        <v>9480</v>
      </c>
      <c r="G254">
        <v>89</v>
      </c>
      <c r="H254">
        <v>3.1</v>
      </c>
      <c r="I254">
        <f t="shared" si="24"/>
        <v>0</v>
      </c>
      <c r="J254">
        <v>0.109</v>
      </c>
      <c r="K254">
        <v>22</v>
      </c>
      <c r="L254">
        <v>2.11</v>
      </c>
      <c r="M254">
        <v>0</v>
      </c>
      <c r="N254">
        <v>721364.11</v>
      </c>
      <c r="O254">
        <v>147272.81</v>
      </c>
      <c r="P254">
        <f t="shared" si="25"/>
        <v>0</v>
      </c>
      <c r="Q254">
        <f t="shared" si="26"/>
        <v>0</v>
      </c>
      <c r="R254">
        <f t="shared" si="27"/>
        <v>1</v>
      </c>
      <c r="S254">
        <f t="shared" si="28"/>
        <v>0</v>
      </c>
      <c r="T254">
        <f t="shared" si="29"/>
        <v>0</v>
      </c>
      <c r="U254">
        <f t="shared" si="30"/>
        <v>753904.12087017437</v>
      </c>
      <c r="V254">
        <f t="shared" si="31"/>
        <v>-32540.010870174388</v>
      </c>
    </row>
    <row r="255" spans="1:22">
      <c r="A255" t="s">
        <v>77</v>
      </c>
      <c r="B255" s="3">
        <v>45748</v>
      </c>
      <c r="C255" t="s">
        <v>15</v>
      </c>
      <c r="D255" t="s">
        <v>18</v>
      </c>
      <c r="E255">
        <v>73540.990000000005</v>
      </c>
      <c r="F255">
        <v>8773</v>
      </c>
      <c r="G255">
        <v>84.4</v>
      </c>
      <c r="H255">
        <v>3.6</v>
      </c>
      <c r="I255">
        <f t="shared" si="24"/>
        <v>0</v>
      </c>
      <c r="J255">
        <v>3.5000000000000003E-2</v>
      </c>
      <c r="K255">
        <v>21</v>
      </c>
      <c r="L255">
        <v>6.68</v>
      </c>
      <c r="M255">
        <v>0</v>
      </c>
      <c r="N255">
        <v>723531.4</v>
      </c>
      <c r="O255">
        <v>108794.85</v>
      </c>
      <c r="P255">
        <f t="shared" si="25"/>
        <v>0</v>
      </c>
      <c r="Q255">
        <f t="shared" si="26"/>
        <v>0</v>
      </c>
      <c r="R255">
        <f t="shared" si="27"/>
        <v>1</v>
      </c>
      <c r="S255">
        <f t="shared" si="28"/>
        <v>0</v>
      </c>
      <c r="T255">
        <f t="shared" si="29"/>
        <v>1</v>
      </c>
      <c r="U255">
        <f t="shared" si="30"/>
        <v>756755.55984080327</v>
      </c>
      <c r="V255">
        <f t="shared" si="31"/>
        <v>-33224.159840803244</v>
      </c>
    </row>
    <row r="256" spans="1:22">
      <c r="A256" t="s">
        <v>61</v>
      </c>
      <c r="B256" s="3">
        <v>45689</v>
      </c>
      <c r="C256" t="s">
        <v>20</v>
      </c>
      <c r="D256" t="s">
        <v>28</v>
      </c>
      <c r="E256">
        <v>41863.08</v>
      </c>
      <c r="F256">
        <v>5400</v>
      </c>
      <c r="G256">
        <v>91.6</v>
      </c>
      <c r="H256">
        <v>3</v>
      </c>
      <c r="I256">
        <f t="shared" si="24"/>
        <v>1</v>
      </c>
      <c r="J256">
        <v>0.114</v>
      </c>
      <c r="K256">
        <v>11</v>
      </c>
      <c r="L256">
        <v>7.99</v>
      </c>
      <c r="M256">
        <v>0</v>
      </c>
      <c r="N256">
        <v>602002.31999999995</v>
      </c>
      <c r="O256">
        <v>110453.28</v>
      </c>
      <c r="P256">
        <f t="shared" si="25"/>
        <v>1</v>
      </c>
      <c r="Q256">
        <f t="shared" si="26"/>
        <v>0</v>
      </c>
      <c r="R256">
        <f t="shared" si="27"/>
        <v>0</v>
      </c>
      <c r="S256">
        <f t="shared" si="28"/>
        <v>0</v>
      </c>
      <c r="T256">
        <f t="shared" si="29"/>
        <v>0</v>
      </c>
      <c r="U256">
        <f t="shared" si="30"/>
        <v>636295.30016529199</v>
      </c>
      <c r="V256">
        <f t="shared" si="31"/>
        <v>-34292.980165292043</v>
      </c>
    </row>
    <row r="257" spans="1:22">
      <c r="A257" t="s">
        <v>95</v>
      </c>
      <c r="B257" s="3">
        <v>45658</v>
      </c>
      <c r="C257" t="s">
        <v>27</v>
      </c>
      <c r="D257" t="s">
        <v>18</v>
      </c>
      <c r="E257">
        <v>51996.32</v>
      </c>
      <c r="F257">
        <v>3834</v>
      </c>
      <c r="G257">
        <v>86.7</v>
      </c>
      <c r="H257">
        <v>4.5</v>
      </c>
      <c r="I257">
        <f t="shared" si="24"/>
        <v>0</v>
      </c>
      <c r="J257">
        <v>9.6000000000000002E-2</v>
      </c>
      <c r="K257">
        <v>8</v>
      </c>
      <c r="L257">
        <v>6.04</v>
      </c>
      <c r="M257">
        <v>0</v>
      </c>
      <c r="N257">
        <v>546223.69999999995</v>
      </c>
      <c r="O257">
        <v>100769.17</v>
      </c>
      <c r="P257">
        <f t="shared" si="25"/>
        <v>0</v>
      </c>
      <c r="Q257">
        <f t="shared" si="26"/>
        <v>0</v>
      </c>
      <c r="R257">
        <f t="shared" si="27"/>
        <v>0</v>
      </c>
      <c r="S257">
        <f t="shared" si="28"/>
        <v>0</v>
      </c>
      <c r="T257">
        <f t="shared" si="29"/>
        <v>1</v>
      </c>
      <c r="U257">
        <f t="shared" si="30"/>
        <v>580978.86788449599</v>
      </c>
      <c r="V257">
        <f t="shared" si="31"/>
        <v>-34755.167884496041</v>
      </c>
    </row>
    <row r="258" spans="1:22">
      <c r="A258" t="s">
        <v>50</v>
      </c>
      <c r="B258" s="3">
        <v>45748</v>
      </c>
      <c r="C258" t="s">
        <v>27</v>
      </c>
      <c r="D258" t="s">
        <v>28</v>
      </c>
      <c r="E258">
        <v>25990.54</v>
      </c>
      <c r="F258">
        <v>9249</v>
      </c>
      <c r="G258">
        <v>92.5</v>
      </c>
      <c r="H258">
        <v>3.3</v>
      </c>
      <c r="I258">
        <f t="shared" ref="I258:I321" si="32">IF(D258="Mall",1,0)</f>
        <v>1</v>
      </c>
      <c r="J258">
        <v>0.13900000000000001</v>
      </c>
      <c r="K258">
        <v>23</v>
      </c>
      <c r="L258">
        <v>6.37</v>
      </c>
      <c r="M258">
        <v>0</v>
      </c>
      <c r="N258">
        <v>718074.79</v>
      </c>
      <c r="O258">
        <v>115819.87</v>
      </c>
      <c r="P258">
        <f t="shared" ref="P258:P321" si="33">IF(C258="North",1,0)</f>
        <v>0</v>
      </c>
      <c r="Q258">
        <f t="shared" ref="Q258:Q321" si="34">IF(C258="South",1,0)</f>
        <v>0</v>
      </c>
      <c r="R258">
        <f t="shared" ref="R258:R321" si="35">IF(C258="East",1,0)</f>
        <v>0</v>
      </c>
      <c r="S258">
        <f t="shared" ref="S258:S321" si="36">IF(D258="Airport",1,0)</f>
        <v>0</v>
      </c>
      <c r="T258">
        <f t="shared" ref="T258:T321" si="37">IF(D258="High Street",1,0)</f>
        <v>0</v>
      </c>
      <c r="U258">
        <f t="shared" ref="U258:U321" si="38">79514.81031
+(1.186491387*E258)
+(33.72856095*F258)
+(3039.885495*G258)
+(10421.66592*H258)
+(15257.56777*I258)</f>
        <v>753146.29598352895</v>
      </c>
      <c r="V258">
        <f t="shared" ref="V258:V321" si="39">N258-U258</f>
        <v>-35071.505983528914</v>
      </c>
    </row>
    <row r="259" spans="1:22">
      <c r="A259" t="s">
        <v>35</v>
      </c>
      <c r="B259" s="3">
        <v>45748</v>
      </c>
      <c r="C259" t="s">
        <v>27</v>
      </c>
      <c r="D259" t="s">
        <v>18</v>
      </c>
      <c r="E259">
        <v>27808.6</v>
      </c>
      <c r="F259">
        <v>2863</v>
      </c>
      <c r="G259">
        <v>89.3</v>
      </c>
      <c r="H259">
        <v>4.0999999999999996</v>
      </c>
      <c r="I259">
        <f t="shared" si="32"/>
        <v>0</v>
      </c>
      <c r="J259">
        <v>0.08</v>
      </c>
      <c r="K259">
        <v>13</v>
      </c>
      <c r="L259">
        <v>0.47</v>
      </c>
      <c r="M259">
        <v>0</v>
      </c>
      <c r="N259">
        <v>487464.91</v>
      </c>
      <c r="O259">
        <v>64562.26</v>
      </c>
      <c r="P259">
        <f t="shared" si="33"/>
        <v>0</v>
      </c>
      <c r="Q259">
        <f t="shared" si="34"/>
        <v>0</v>
      </c>
      <c r="R259">
        <f t="shared" si="35"/>
        <v>0</v>
      </c>
      <c r="S259">
        <f t="shared" si="36"/>
        <v>0</v>
      </c>
      <c r="T259">
        <f t="shared" si="37"/>
        <v>1</v>
      </c>
      <c r="U259">
        <f t="shared" si="38"/>
        <v>523264.94966987817</v>
      </c>
      <c r="V259">
        <f t="shared" si="39"/>
        <v>-35800.039669878199</v>
      </c>
    </row>
    <row r="260" spans="1:22">
      <c r="A260" t="s">
        <v>78</v>
      </c>
      <c r="B260" s="3">
        <v>45717</v>
      </c>
      <c r="C260" t="s">
        <v>15</v>
      </c>
      <c r="D260" t="s">
        <v>28</v>
      </c>
      <c r="E260">
        <v>42932.02</v>
      </c>
      <c r="F260">
        <v>3872</v>
      </c>
      <c r="G260">
        <v>83.2</v>
      </c>
      <c r="H260">
        <v>3.3</v>
      </c>
      <c r="I260">
        <f t="shared" si="32"/>
        <v>1</v>
      </c>
      <c r="J260">
        <v>0.17100000000000001</v>
      </c>
      <c r="K260">
        <v>12</v>
      </c>
      <c r="L260">
        <v>15.58</v>
      </c>
      <c r="M260">
        <v>0</v>
      </c>
      <c r="N260">
        <v>527681.56000000006</v>
      </c>
      <c r="O260">
        <v>63153.05</v>
      </c>
      <c r="P260">
        <f t="shared" si="33"/>
        <v>0</v>
      </c>
      <c r="Q260">
        <f t="shared" si="34"/>
        <v>0</v>
      </c>
      <c r="R260">
        <f t="shared" si="35"/>
        <v>1</v>
      </c>
      <c r="S260">
        <f t="shared" si="36"/>
        <v>0</v>
      </c>
      <c r="T260">
        <f t="shared" si="37"/>
        <v>0</v>
      </c>
      <c r="U260">
        <f t="shared" si="38"/>
        <v>563617.80875491176</v>
      </c>
      <c r="V260">
        <f t="shared" si="39"/>
        <v>-35936.248754911707</v>
      </c>
    </row>
    <row r="261" spans="1:22">
      <c r="A261" t="s">
        <v>36</v>
      </c>
      <c r="B261" s="3">
        <v>45717</v>
      </c>
      <c r="C261" t="s">
        <v>15</v>
      </c>
      <c r="D261" t="s">
        <v>21</v>
      </c>
      <c r="E261">
        <v>118910.48</v>
      </c>
      <c r="F261">
        <v>4022</v>
      </c>
      <c r="G261">
        <v>87.1</v>
      </c>
      <c r="H261">
        <v>3.1</v>
      </c>
      <c r="I261">
        <f t="shared" si="32"/>
        <v>0</v>
      </c>
      <c r="J261">
        <v>0.13700000000000001</v>
      </c>
      <c r="K261">
        <v>11</v>
      </c>
      <c r="L261">
        <v>0.2</v>
      </c>
      <c r="M261">
        <v>0</v>
      </c>
      <c r="N261">
        <v>617291.15</v>
      </c>
      <c r="O261">
        <v>117782</v>
      </c>
      <c r="P261">
        <f t="shared" si="33"/>
        <v>0</v>
      </c>
      <c r="Q261">
        <f t="shared" si="34"/>
        <v>0</v>
      </c>
      <c r="R261">
        <f t="shared" si="35"/>
        <v>1</v>
      </c>
      <c r="S261">
        <f t="shared" si="36"/>
        <v>1</v>
      </c>
      <c r="T261">
        <f t="shared" si="37"/>
        <v>0</v>
      </c>
      <c r="U261">
        <f t="shared" si="38"/>
        <v>653338.53376143577</v>
      </c>
      <c r="V261">
        <f t="shared" si="39"/>
        <v>-36047.383761435747</v>
      </c>
    </row>
    <row r="262" spans="1:22">
      <c r="A262" t="s">
        <v>99</v>
      </c>
      <c r="B262" s="3">
        <v>45689</v>
      </c>
      <c r="C262" t="s">
        <v>24</v>
      </c>
      <c r="D262" t="s">
        <v>18</v>
      </c>
      <c r="E262">
        <v>23702.38</v>
      </c>
      <c r="F262">
        <v>5285</v>
      </c>
      <c r="G262">
        <v>79.7</v>
      </c>
      <c r="H262">
        <v>4.3</v>
      </c>
      <c r="I262">
        <f t="shared" si="32"/>
        <v>0</v>
      </c>
      <c r="J262">
        <v>0.16700000000000001</v>
      </c>
      <c r="K262">
        <v>14</v>
      </c>
      <c r="L262">
        <v>1.1000000000000001</v>
      </c>
      <c r="M262">
        <v>0</v>
      </c>
      <c r="N262">
        <v>536524.84</v>
      </c>
      <c r="O262">
        <v>92752.94</v>
      </c>
      <c r="P262">
        <f t="shared" si="33"/>
        <v>0</v>
      </c>
      <c r="Q262">
        <f t="shared" si="34"/>
        <v>1</v>
      </c>
      <c r="R262">
        <f t="shared" si="35"/>
        <v>0</v>
      </c>
      <c r="S262">
        <f t="shared" si="36"/>
        <v>0</v>
      </c>
      <c r="T262">
        <f t="shared" si="37"/>
        <v>1</v>
      </c>
      <c r="U262">
        <f t="shared" si="38"/>
        <v>572984.96205965115</v>
      </c>
      <c r="V262">
        <f t="shared" si="39"/>
        <v>-36460.122059651185</v>
      </c>
    </row>
    <row r="263" spans="1:22">
      <c r="A263" t="s">
        <v>92</v>
      </c>
      <c r="B263" s="3">
        <v>45658</v>
      </c>
      <c r="C263" t="s">
        <v>24</v>
      </c>
      <c r="D263" t="s">
        <v>18</v>
      </c>
      <c r="E263">
        <v>45940.39</v>
      </c>
      <c r="F263">
        <v>4022</v>
      </c>
      <c r="G263">
        <v>83</v>
      </c>
      <c r="H263">
        <v>3.8</v>
      </c>
      <c r="I263">
        <f t="shared" si="32"/>
        <v>0</v>
      </c>
      <c r="J263">
        <v>6.9000000000000006E-2</v>
      </c>
      <c r="K263">
        <v>10</v>
      </c>
      <c r="L263">
        <v>1.23</v>
      </c>
      <c r="M263">
        <v>1</v>
      </c>
      <c r="N263">
        <v>524899.56999999995</v>
      </c>
      <c r="O263">
        <v>63619.98</v>
      </c>
      <c r="P263">
        <f t="shared" si="33"/>
        <v>0</v>
      </c>
      <c r="Q263">
        <f t="shared" si="34"/>
        <v>1</v>
      </c>
      <c r="R263">
        <f t="shared" si="35"/>
        <v>0</v>
      </c>
      <c r="S263">
        <f t="shared" si="36"/>
        <v>0</v>
      </c>
      <c r="T263">
        <f t="shared" si="37"/>
        <v>1</v>
      </c>
      <c r="U263">
        <f t="shared" si="38"/>
        <v>561591.78608232096</v>
      </c>
      <c r="V263">
        <f t="shared" si="39"/>
        <v>-36692.216082321014</v>
      </c>
    </row>
    <row r="264" spans="1:22">
      <c r="A264" t="s">
        <v>36</v>
      </c>
      <c r="B264" s="3">
        <v>45748</v>
      </c>
      <c r="C264" t="s">
        <v>15</v>
      </c>
      <c r="D264" t="s">
        <v>21</v>
      </c>
      <c r="E264">
        <v>52952.12</v>
      </c>
      <c r="F264">
        <v>4377</v>
      </c>
      <c r="G264">
        <v>88.6</v>
      </c>
      <c r="H264">
        <v>3.1</v>
      </c>
      <c r="I264">
        <f t="shared" si="32"/>
        <v>0</v>
      </c>
      <c r="J264">
        <v>9.1999999999999998E-2</v>
      </c>
      <c r="K264">
        <v>14</v>
      </c>
      <c r="L264">
        <v>13.59</v>
      </c>
      <c r="M264">
        <v>0</v>
      </c>
      <c r="N264">
        <v>553756.43000000005</v>
      </c>
      <c r="O264">
        <v>86166.77</v>
      </c>
      <c r="P264">
        <f t="shared" si="33"/>
        <v>0</v>
      </c>
      <c r="Q264">
        <f t="shared" si="34"/>
        <v>0</v>
      </c>
      <c r="R264">
        <f t="shared" si="35"/>
        <v>1</v>
      </c>
      <c r="S264">
        <f t="shared" si="36"/>
        <v>1</v>
      </c>
      <c r="T264">
        <f t="shared" si="37"/>
        <v>0</v>
      </c>
      <c r="U264">
        <f t="shared" si="38"/>
        <v>591612.97510054056</v>
      </c>
      <c r="V264">
        <f t="shared" si="39"/>
        <v>-37856.545100540505</v>
      </c>
    </row>
    <row r="265" spans="1:22">
      <c r="A265" t="s">
        <v>58</v>
      </c>
      <c r="B265" s="3">
        <v>45658</v>
      </c>
      <c r="C265" t="s">
        <v>20</v>
      </c>
      <c r="D265" t="s">
        <v>16</v>
      </c>
      <c r="E265">
        <v>70488.2</v>
      </c>
      <c r="F265">
        <v>4312</v>
      </c>
      <c r="G265">
        <v>90.2</v>
      </c>
      <c r="H265">
        <v>3.2</v>
      </c>
      <c r="I265">
        <f t="shared" si="32"/>
        <v>0</v>
      </c>
      <c r="J265">
        <v>0.16900000000000001</v>
      </c>
      <c r="K265">
        <v>12</v>
      </c>
      <c r="L265">
        <v>3.71</v>
      </c>
      <c r="M265">
        <v>0</v>
      </c>
      <c r="N265">
        <v>577732.56999999995</v>
      </c>
      <c r="O265">
        <v>93804.27</v>
      </c>
      <c r="P265">
        <f t="shared" si="33"/>
        <v>1</v>
      </c>
      <c r="Q265">
        <f t="shared" si="34"/>
        <v>0</v>
      </c>
      <c r="R265">
        <f t="shared" si="35"/>
        <v>0</v>
      </c>
      <c r="S265">
        <f t="shared" si="36"/>
        <v>0</v>
      </c>
      <c r="T265">
        <f t="shared" si="37"/>
        <v>0</v>
      </c>
      <c r="U265">
        <f t="shared" si="38"/>
        <v>616133.00990453351</v>
      </c>
      <c r="V265">
        <f t="shared" si="39"/>
        <v>-38400.439904533559</v>
      </c>
    </row>
    <row r="266" spans="1:22">
      <c r="A266" t="s">
        <v>79</v>
      </c>
      <c r="B266" s="3">
        <v>45717</v>
      </c>
      <c r="C266" t="s">
        <v>15</v>
      </c>
      <c r="D266" t="s">
        <v>18</v>
      </c>
      <c r="E266">
        <v>33173.949999999997</v>
      </c>
      <c r="F266">
        <v>6545</v>
      </c>
      <c r="G266">
        <v>84.4</v>
      </c>
      <c r="H266">
        <v>3.9</v>
      </c>
      <c r="I266">
        <f t="shared" si="32"/>
        <v>0</v>
      </c>
      <c r="J266">
        <v>0.16900000000000001</v>
      </c>
      <c r="K266">
        <v>15</v>
      </c>
      <c r="L266">
        <v>2.48</v>
      </c>
      <c r="M266">
        <v>0</v>
      </c>
      <c r="N266">
        <v>596969.27</v>
      </c>
      <c r="O266">
        <v>105669.51</v>
      </c>
      <c r="P266">
        <f t="shared" si="33"/>
        <v>0</v>
      </c>
      <c r="Q266">
        <f t="shared" si="34"/>
        <v>0</v>
      </c>
      <c r="R266">
        <f t="shared" si="35"/>
        <v>1</v>
      </c>
      <c r="S266">
        <f t="shared" si="36"/>
        <v>0</v>
      </c>
      <c r="T266">
        <f t="shared" si="37"/>
        <v>1</v>
      </c>
      <c r="U266">
        <f t="shared" si="38"/>
        <v>636839.68054151861</v>
      </c>
      <c r="V266">
        <f t="shared" si="39"/>
        <v>-39870.410541518591</v>
      </c>
    </row>
    <row r="267" spans="1:22">
      <c r="A267" t="s">
        <v>94</v>
      </c>
      <c r="B267" s="3">
        <v>45689</v>
      </c>
      <c r="C267" t="s">
        <v>15</v>
      </c>
      <c r="D267" t="s">
        <v>16</v>
      </c>
      <c r="E267">
        <v>68909.259999999995</v>
      </c>
      <c r="F267">
        <v>7794</v>
      </c>
      <c r="G267">
        <v>89</v>
      </c>
      <c r="H267">
        <v>4</v>
      </c>
      <c r="I267">
        <f t="shared" si="32"/>
        <v>0</v>
      </c>
      <c r="J267">
        <v>0.28399999999999997</v>
      </c>
      <c r="K267">
        <v>22</v>
      </c>
      <c r="L267">
        <v>0.33</v>
      </c>
      <c r="M267">
        <v>0</v>
      </c>
      <c r="N267">
        <v>696261.49</v>
      </c>
      <c r="O267">
        <v>72455.350000000006</v>
      </c>
      <c r="P267">
        <f t="shared" si="33"/>
        <v>0</v>
      </c>
      <c r="Q267">
        <f t="shared" si="34"/>
        <v>0</v>
      </c>
      <c r="R267">
        <f t="shared" si="35"/>
        <v>1</v>
      </c>
      <c r="S267">
        <f t="shared" si="36"/>
        <v>0</v>
      </c>
      <c r="T267">
        <f t="shared" si="37"/>
        <v>0</v>
      </c>
      <c r="U267">
        <f t="shared" si="38"/>
        <v>736391.93056384358</v>
      </c>
      <c r="V267">
        <f t="shared" si="39"/>
        <v>-40130.440563843586</v>
      </c>
    </row>
    <row r="268" spans="1:22">
      <c r="A268" t="s">
        <v>71</v>
      </c>
      <c r="B268" s="3">
        <v>45689</v>
      </c>
      <c r="C268" t="s">
        <v>20</v>
      </c>
      <c r="D268" t="s">
        <v>16</v>
      </c>
      <c r="E268">
        <v>54002.83</v>
      </c>
      <c r="F268">
        <v>4366</v>
      </c>
      <c r="G268">
        <v>90.6</v>
      </c>
      <c r="H268">
        <v>4.5999999999999996</v>
      </c>
      <c r="I268">
        <f t="shared" si="32"/>
        <v>0</v>
      </c>
      <c r="J268">
        <v>2.7E-2</v>
      </c>
      <c r="K268">
        <v>15</v>
      </c>
      <c r="L268">
        <v>12.82</v>
      </c>
      <c r="M268">
        <v>0</v>
      </c>
      <c r="N268">
        <v>574066.61</v>
      </c>
      <c r="O268">
        <v>124674.67</v>
      </c>
      <c r="P268">
        <f t="shared" si="33"/>
        <v>1</v>
      </c>
      <c r="Q268">
        <f t="shared" si="34"/>
        <v>0</v>
      </c>
      <c r="R268">
        <f t="shared" si="35"/>
        <v>0</v>
      </c>
      <c r="S268">
        <f t="shared" si="36"/>
        <v>0</v>
      </c>
      <c r="T268">
        <f t="shared" si="37"/>
        <v>0</v>
      </c>
      <c r="U268">
        <f t="shared" si="38"/>
        <v>614200.88916532521</v>
      </c>
      <c r="V268">
        <f t="shared" si="39"/>
        <v>-40134.279165325221</v>
      </c>
    </row>
    <row r="269" spans="1:22">
      <c r="A269" t="s">
        <v>71</v>
      </c>
      <c r="B269" s="3">
        <v>45717</v>
      </c>
      <c r="C269" t="s">
        <v>20</v>
      </c>
      <c r="D269" t="s">
        <v>16</v>
      </c>
      <c r="E269">
        <v>54479.33</v>
      </c>
      <c r="F269">
        <v>5012</v>
      </c>
      <c r="G269">
        <v>86</v>
      </c>
      <c r="H269">
        <v>4.3</v>
      </c>
      <c r="I269">
        <f t="shared" si="32"/>
        <v>0</v>
      </c>
      <c r="J269">
        <v>0.28399999999999997</v>
      </c>
      <c r="K269">
        <v>13</v>
      </c>
      <c r="L269">
        <v>2.2400000000000002</v>
      </c>
      <c r="M269">
        <v>1</v>
      </c>
      <c r="N269">
        <v>578949.84</v>
      </c>
      <c r="O269">
        <v>80253.649999999994</v>
      </c>
      <c r="P269">
        <f t="shared" si="33"/>
        <v>1</v>
      </c>
      <c r="Q269">
        <f t="shared" si="34"/>
        <v>0</v>
      </c>
      <c r="R269">
        <f t="shared" si="35"/>
        <v>0</v>
      </c>
      <c r="S269">
        <f t="shared" si="36"/>
        <v>0</v>
      </c>
      <c r="T269">
        <f t="shared" si="37"/>
        <v>0</v>
      </c>
      <c r="U269">
        <f t="shared" si="38"/>
        <v>619444.92963193078</v>
      </c>
      <c r="V269">
        <f t="shared" si="39"/>
        <v>-40495.089631930809</v>
      </c>
    </row>
    <row r="270" spans="1:22">
      <c r="A270" t="s">
        <v>70</v>
      </c>
      <c r="B270" s="3">
        <v>45658</v>
      </c>
      <c r="C270" t="s">
        <v>27</v>
      </c>
      <c r="D270" t="s">
        <v>16</v>
      </c>
      <c r="E270">
        <v>81796.740000000005</v>
      </c>
      <c r="F270">
        <v>6177</v>
      </c>
      <c r="G270">
        <v>87.9</v>
      </c>
      <c r="H270">
        <v>3.2</v>
      </c>
      <c r="I270">
        <f t="shared" si="32"/>
        <v>0</v>
      </c>
      <c r="J270">
        <v>0.16400000000000001</v>
      </c>
      <c r="K270">
        <v>14</v>
      </c>
      <c r="L270">
        <v>0.53</v>
      </c>
      <c r="M270">
        <v>0</v>
      </c>
      <c r="N270">
        <v>643428.85</v>
      </c>
      <c r="O270">
        <v>94477.63</v>
      </c>
      <c r="P270">
        <f t="shared" si="33"/>
        <v>0</v>
      </c>
      <c r="Q270">
        <f t="shared" si="34"/>
        <v>0</v>
      </c>
      <c r="R270">
        <f t="shared" si="35"/>
        <v>0</v>
      </c>
      <c r="S270">
        <f t="shared" si="36"/>
        <v>0</v>
      </c>
      <c r="T270">
        <f t="shared" si="37"/>
        <v>0</v>
      </c>
      <c r="U270">
        <f t="shared" si="38"/>
        <v>685462.52474732848</v>
      </c>
      <c r="V270">
        <f t="shared" si="39"/>
        <v>-42033.674747328507</v>
      </c>
    </row>
    <row r="271" spans="1:22">
      <c r="A271" t="s">
        <v>33</v>
      </c>
      <c r="B271" s="3">
        <v>45689</v>
      </c>
      <c r="C271" t="s">
        <v>27</v>
      </c>
      <c r="D271" t="s">
        <v>16</v>
      </c>
      <c r="E271">
        <v>63630.21</v>
      </c>
      <c r="F271">
        <v>4460</v>
      </c>
      <c r="G271">
        <v>98.6</v>
      </c>
      <c r="H271">
        <v>3.5</v>
      </c>
      <c r="I271">
        <f t="shared" si="32"/>
        <v>0</v>
      </c>
      <c r="J271">
        <v>0.23499999999999999</v>
      </c>
      <c r="K271">
        <v>14</v>
      </c>
      <c r="L271">
        <v>5.52</v>
      </c>
      <c r="M271">
        <v>0</v>
      </c>
      <c r="N271">
        <v>599603.4</v>
      </c>
      <c r="O271">
        <v>112685.12</v>
      </c>
      <c r="P271">
        <f t="shared" si="33"/>
        <v>0</v>
      </c>
      <c r="Q271">
        <f t="shared" si="34"/>
        <v>0</v>
      </c>
      <c r="R271">
        <f t="shared" si="35"/>
        <v>0</v>
      </c>
      <c r="S271">
        <f t="shared" si="36"/>
        <v>0</v>
      </c>
      <c r="T271">
        <f t="shared" si="37"/>
        <v>0</v>
      </c>
      <c r="U271">
        <f t="shared" si="38"/>
        <v>641649.42879200121</v>
      </c>
      <c r="V271">
        <f t="shared" si="39"/>
        <v>-42046.028792001191</v>
      </c>
    </row>
    <row r="272" spans="1:22">
      <c r="A272" t="s">
        <v>34</v>
      </c>
      <c r="B272" s="3">
        <v>45658</v>
      </c>
      <c r="C272" t="s">
        <v>20</v>
      </c>
      <c r="D272" t="s">
        <v>28</v>
      </c>
      <c r="E272">
        <v>46624.05</v>
      </c>
      <c r="F272">
        <v>5104</v>
      </c>
      <c r="G272">
        <v>97.3</v>
      </c>
      <c r="H272">
        <v>4.7</v>
      </c>
      <c r="I272">
        <f t="shared" si="32"/>
        <v>1</v>
      </c>
      <c r="J272">
        <v>0.109</v>
      </c>
      <c r="K272">
        <v>11</v>
      </c>
      <c r="L272">
        <v>3.49</v>
      </c>
      <c r="M272">
        <v>1</v>
      </c>
      <c r="N272">
        <v>622811.74</v>
      </c>
      <c r="O272">
        <v>109978.35</v>
      </c>
      <c r="P272">
        <f t="shared" si="33"/>
        <v>1</v>
      </c>
      <c r="Q272">
        <f t="shared" si="34"/>
        <v>0</v>
      </c>
      <c r="R272">
        <f t="shared" si="35"/>
        <v>0</v>
      </c>
      <c r="S272">
        <f t="shared" si="36"/>
        <v>0</v>
      </c>
      <c r="T272">
        <f t="shared" si="37"/>
        <v>0</v>
      </c>
      <c r="U272">
        <f t="shared" si="38"/>
        <v>667004.67540835729</v>
      </c>
      <c r="V272">
        <f t="shared" si="39"/>
        <v>-44192.935408357298</v>
      </c>
    </row>
    <row r="273" spans="1:22">
      <c r="A273" t="s">
        <v>14</v>
      </c>
      <c r="B273" s="3">
        <v>45658</v>
      </c>
      <c r="C273" t="s">
        <v>15</v>
      </c>
      <c r="D273" t="s">
        <v>16</v>
      </c>
      <c r="E273">
        <v>70389.11</v>
      </c>
      <c r="F273">
        <v>8302</v>
      </c>
      <c r="G273">
        <v>75</v>
      </c>
      <c r="H273">
        <v>3.1</v>
      </c>
      <c r="I273">
        <f t="shared" si="32"/>
        <v>0</v>
      </c>
      <c r="J273">
        <v>4.2000000000000003E-2</v>
      </c>
      <c r="K273">
        <v>17</v>
      </c>
      <c r="L273">
        <v>5.28</v>
      </c>
      <c r="M273">
        <v>1</v>
      </c>
      <c r="N273">
        <v>658832.62</v>
      </c>
      <c r="O273">
        <v>84349.93</v>
      </c>
      <c r="P273">
        <f t="shared" si="33"/>
        <v>0</v>
      </c>
      <c r="Q273">
        <f t="shared" si="34"/>
        <v>0</v>
      </c>
      <c r="R273">
        <f t="shared" si="35"/>
        <v>1</v>
      </c>
      <c r="S273">
        <f t="shared" si="36"/>
        <v>0</v>
      </c>
      <c r="T273">
        <f t="shared" si="37"/>
        <v>0</v>
      </c>
      <c r="U273">
        <f t="shared" si="38"/>
        <v>703343.97254749562</v>
      </c>
      <c r="V273">
        <f t="shared" si="39"/>
        <v>-44511.352547495626</v>
      </c>
    </row>
    <row r="274" spans="1:22">
      <c r="A274" t="s">
        <v>72</v>
      </c>
      <c r="B274" s="3">
        <v>45717</v>
      </c>
      <c r="C274" t="s">
        <v>15</v>
      </c>
      <c r="D274" t="s">
        <v>21</v>
      </c>
      <c r="E274">
        <v>35203.230000000003</v>
      </c>
      <c r="F274">
        <v>6896</v>
      </c>
      <c r="G274">
        <v>80.8</v>
      </c>
      <c r="H274">
        <v>5</v>
      </c>
      <c r="I274">
        <f t="shared" si="32"/>
        <v>0</v>
      </c>
      <c r="J274">
        <v>3.2000000000000001E-2</v>
      </c>
      <c r="K274">
        <v>14</v>
      </c>
      <c r="L274">
        <v>8.44</v>
      </c>
      <c r="M274">
        <v>1</v>
      </c>
      <c r="N274">
        <v>607084.92000000004</v>
      </c>
      <c r="O274">
        <v>98558.49</v>
      </c>
      <c r="P274">
        <f t="shared" si="33"/>
        <v>0</v>
      </c>
      <c r="Q274">
        <f t="shared" si="34"/>
        <v>0</v>
      </c>
      <c r="R274">
        <f t="shared" si="35"/>
        <v>1</v>
      </c>
      <c r="S274">
        <f t="shared" si="36"/>
        <v>1</v>
      </c>
      <c r="T274">
        <f t="shared" si="37"/>
        <v>0</v>
      </c>
      <c r="U274">
        <f t="shared" si="38"/>
        <v>651606.37340677995</v>
      </c>
      <c r="V274">
        <f t="shared" si="39"/>
        <v>-44521.45340677991</v>
      </c>
    </row>
    <row r="275" spans="1:22">
      <c r="A275" t="s">
        <v>100</v>
      </c>
      <c r="B275" s="3">
        <v>45689</v>
      </c>
      <c r="C275" t="s">
        <v>20</v>
      </c>
      <c r="D275" t="s">
        <v>16</v>
      </c>
      <c r="E275">
        <v>46767.99</v>
      </c>
      <c r="F275">
        <v>7973</v>
      </c>
      <c r="G275">
        <v>94.8</v>
      </c>
      <c r="H275" s="6">
        <v>3.92</v>
      </c>
      <c r="I275">
        <f t="shared" si="32"/>
        <v>0</v>
      </c>
      <c r="J275">
        <v>0.183</v>
      </c>
      <c r="K275">
        <v>18</v>
      </c>
      <c r="L275">
        <v>4.67</v>
      </c>
      <c r="M275">
        <v>0</v>
      </c>
      <c r="N275">
        <v>688368.46</v>
      </c>
      <c r="O275">
        <v>93588.42</v>
      </c>
      <c r="P275">
        <f t="shared" si="33"/>
        <v>1</v>
      </c>
      <c r="Q275">
        <f t="shared" si="34"/>
        <v>0</v>
      </c>
      <c r="R275">
        <f t="shared" si="35"/>
        <v>0</v>
      </c>
      <c r="S275">
        <f t="shared" si="36"/>
        <v>0</v>
      </c>
      <c r="T275">
        <f t="shared" si="37"/>
        <v>0</v>
      </c>
      <c r="U275">
        <f t="shared" si="38"/>
        <v>732956.51941905217</v>
      </c>
      <c r="V275">
        <f t="shared" si="39"/>
        <v>-44588.05941905221</v>
      </c>
    </row>
    <row r="276" spans="1:22">
      <c r="A276" t="s">
        <v>62</v>
      </c>
      <c r="B276" s="3">
        <v>45658</v>
      </c>
      <c r="C276" t="s">
        <v>24</v>
      </c>
      <c r="D276" t="s">
        <v>18</v>
      </c>
      <c r="E276">
        <v>41443.410000000003</v>
      </c>
      <c r="F276">
        <v>7455</v>
      </c>
      <c r="G276">
        <v>90.1</v>
      </c>
      <c r="H276">
        <v>4</v>
      </c>
      <c r="I276">
        <f t="shared" si="32"/>
        <v>0</v>
      </c>
      <c r="J276">
        <v>0.17499999999999999</v>
      </c>
      <c r="K276">
        <v>16</v>
      </c>
      <c r="L276">
        <v>4.05</v>
      </c>
      <c r="M276">
        <v>0</v>
      </c>
      <c r="N276">
        <v>650480.06000000006</v>
      </c>
      <c r="O276">
        <v>109012.07</v>
      </c>
      <c r="P276">
        <f t="shared" si="33"/>
        <v>0</v>
      </c>
      <c r="Q276">
        <f t="shared" si="34"/>
        <v>1</v>
      </c>
      <c r="R276">
        <f t="shared" si="35"/>
        <v>0</v>
      </c>
      <c r="S276">
        <f t="shared" si="36"/>
        <v>0</v>
      </c>
      <c r="T276">
        <f t="shared" si="37"/>
        <v>1</v>
      </c>
      <c r="U276">
        <f t="shared" si="38"/>
        <v>695713.8279846597</v>
      </c>
      <c r="V276">
        <f t="shared" si="39"/>
        <v>-45233.767984659644</v>
      </c>
    </row>
    <row r="277" spans="1:22">
      <c r="A277" t="s">
        <v>64</v>
      </c>
      <c r="B277" s="3">
        <v>45658</v>
      </c>
      <c r="C277" t="s">
        <v>15</v>
      </c>
      <c r="D277" t="s">
        <v>16</v>
      </c>
      <c r="E277">
        <v>62059.18</v>
      </c>
      <c r="F277">
        <v>9374</v>
      </c>
      <c r="G277">
        <v>87.1</v>
      </c>
      <c r="H277">
        <v>4.9000000000000004</v>
      </c>
      <c r="I277">
        <f t="shared" si="32"/>
        <v>0</v>
      </c>
      <c r="J277">
        <v>0.13600000000000001</v>
      </c>
      <c r="K277">
        <v>25</v>
      </c>
      <c r="L277">
        <v>12.55</v>
      </c>
      <c r="M277">
        <v>0</v>
      </c>
      <c r="N277">
        <v>739831.73</v>
      </c>
      <c r="O277">
        <v>119490.21</v>
      </c>
      <c r="P277">
        <f t="shared" si="33"/>
        <v>0</v>
      </c>
      <c r="Q277">
        <f t="shared" si="34"/>
        <v>0</v>
      </c>
      <c r="R277">
        <f t="shared" si="35"/>
        <v>1</v>
      </c>
      <c r="S277">
        <f t="shared" si="36"/>
        <v>0</v>
      </c>
      <c r="T277">
        <f t="shared" si="37"/>
        <v>0</v>
      </c>
      <c r="U277">
        <f t="shared" si="38"/>
        <v>785159.21283208265</v>
      </c>
      <c r="V277">
        <f t="shared" si="39"/>
        <v>-45327.482832082664</v>
      </c>
    </row>
    <row r="278" spans="1:22">
      <c r="A278" t="s">
        <v>31</v>
      </c>
      <c r="B278" s="3">
        <v>45689</v>
      </c>
      <c r="C278" t="s">
        <v>20</v>
      </c>
      <c r="D278" t="s">
        <v>28</v>
      </c>
      <c r="E278">
        <v>61245.41</v>
      </c>
      <c r="F278">
        <v>8156</v>
      </c>
      <c r="G278">
        <v>92.9</v>
      </c>
      <c r="H278">
        <v>3.8</v>
      </c>
      <c r="I278">
        <f t="shared" si="32"/>
        <v>1</v>
      </c>
      <c r="J278">
        <v>0.156</v>
      </c>
      <c r="K278">
        <v>19</v>
      </c>
      <c r="L278">
        <v>9.0500000000000007</v>
      </c>
      <c r="M278">
        <v>0</v>
      </c>
      <c r="N278">
        <v>718330.53</v>
      </c>
      <c r="O278">
        <v>93247.9</v>
      </c>
      <c r="P278">
        <f t="shared" si="33"/>
        <v>1</v>
      </c>
      <c r="Q278">
        <f t="shared" si="34"/>
        <v>0</v>
      </c>
      <c r="R278">
        <f t="shared" si="35"/>
        <v>0</v>
      </c>
      <c r="S278">
        <f t="shared" si="36"/>
        <v>0</v>
      </c>
      <c r="T278">
        <f t="shared" si="37"/>
        <v>0</v>
      </c>
      <c r="U278">
        <f t="shared" si="38"/>
        <v>764537.36562798359</v>
      </c>
      <c r="V278">
        <f t="shared" si="39"/>
        <v>-46206.835627983557</v>
      </c>
    </row>
    <row r="279" spans="1:22">
      <c r="A279" t="s">
        <v>101</v>
      </c>
      <c r="B279" s="3">
        <v>45748</v>
      </c>
      <c r="C279" t="s">
        <v>15</v>
      </c>
      <c r="D279" t="s">
        <v>16</v>
      </c>
      <c r="E279">
        <v>40553.11</v>
      </c>
      <c r="F279">
        <v>5317</v>
      </c>
      <c r="G279">
        <v>84.3</v>
      </c>
      <c r="H279">
        <v>4.0999999999999996</v>
      </c>
      <c r="I279">
        <f t="shared" si="32"/>
        <v>0</v>
      </c>
      <c r="J279">
        <v>0.16500000000000001</v>
      </c>
      <c r="K279">
        <v>17</v>
      </c>
      <c r="L279">
        <v>11.82</v>
      </c>
      <c r="M279">
        <v>0</v>
      </c>
      <c r="N279">
        <v>559660.84</v>
      </c>
      <c r="O279">
        <v>71443.61</v>
      </c>
      <c r="P279">
        <f t="shared" si="33"/>
        <v>0</v>
      </c>
      <c r="Q279">
        <f t="shared" si="34"/>
        <v>0</v>
      </c>
      <c r="R279">
        <f t="shared" si="35"/>
        <v>1</v>
      </c>
      <c r="S279">
        <f t="shared" si="36"/>
        <v>0</v>
      </c>
      <c r="T279">
        <f t="shared" si="37"/>
        <v>0</v>
      </c>
      <c r="U279">
        <f t="shared" si="38"/>
        <v>605956.66211271356</v>
      </c>
      <c r="V279">
        <f t="shared" si="39"/>
        <v>-46295.822112713591</v>
      </c>
    </row>
    <row r="280" spans="1:22">
      <c r="A280" t="s">
        <v>50</v>
      </c>
      <c r="B280" s="3">
        <v>45717</v>
      </c>
      <c r="C280" t="s">
        <v>27</v>
      </c>
      <c r="D280" t="s">
        <v>28</v>
      </c>
      <c r="E280">
        <v>33605.18</v>
      </c>
      <c r="F280">
        <v>9225</v>
      </c>
      <c r="G280">
        <v>88.4</v>
      </c>
      <c r="H280">
        <v>2.8</v>
      </c>
      <c r="I280">
        <f t="shared" si="32"/>
        <v>1</v>
      </c>
      <c r="J280">
        <v>0.159</v>
      </c>
      <c r="K280">
        <v>23</v>
      </c>
      <c r="L280">
        <v>5.91</v>
      </c>
      <c r="M280">
        <v>0</v>
      </c>
      <c r="N280">
        <v>697287.9</v>
      </c>
      <c r="O280">
        <v>128208.33</v>
      </c>
      <c r="P280">
        <f t="shared" si="33"/>
        <v>0</v>
      </c>
      <c r="Q280">
        <f t="shared" si="34"/>
        <v>0</v>
      </c>
      <c r="R280">
        <f t="shared" si="35"/>
        <v>0</v>
      </c>
      <c r="S280">
        <f t="shared" si="36"/>
        <v>0</v>
      </c>
      <c r="T280">
        <f t="shared" si="37"/>
        <v>0</v>
      </c>
      <c r="U280">
        <f t="shared" si="38"/>
        <v>743697.15180633462</v>
      </c>
      <c r="V280">
        <f t="shared" si="39"/>
        <v>-46409.251806334592</v>
      </c>
    </row>
    <row r="281" spans="1:22">
      <c r="A281" t="s">
        <v>60</v>
      </c>
      <c r="B281" s="3">
        <v>45717</v>
      </c>
      <c r="C281" t="s">
        <v>15</v>
      </c>
      <c r="D281" t="s">
        <v>18</v>
      </c>
      <c r="E281">
        <v>61433.84</v>
      </c>
      <c r="F281">
        <v>7745</v>
      </c>
      <c r="G281">
        <v>90.5</v>
      </c>
      <c r="H281">
        <v>4.2</v>
      </c>
      <c r="I281">
        <f t="shared" si="32"/>
        <v>0</v>
      </c>
      <c r="J281">
        <v>0.18</v>
      </c>
      <c r="K281">
        <v>16</v>
      </c>
      <c r="L281">
        <v>2.2599999999999998</v>
      </c>
      <c r="M281">
        <v>0</v>
      </c>
      <c r="N281">
        <v>685830.24</v>
      </c>
      <c r="O281">
        <v>128736.18</v>
      </c>
      <c r="P281">
        <f t="shared" si="33"/>
        <v>0</v>
      </c>
      <c r="Q281">
        <f t="shared" si="34"/>
        <v>0</v>
      </c>
      <c r="R281">
        <f t="shared" si="35"/>
        <v>1</v>
      </c>
      <c r="S281">
        <f t="shared" si="36"/>
        <v>0</v>
      </c>
      <c r="T281">
        <f t="shared" si="37"/>
        <v>1</v>
      </c>
      <c r="U281">
        <f t="shared" si="38"/>
        <v>732513.87105958606</v>
      </c>
      <c r="V281">
        <f t="shared" si="39"/>
        <v>-46683.63105958607</v>
      </c>
    </row>
    <row r="282" spans="1:22">
      <c r="A282" t="s">
        <v>52</v>
      </c>
      <c r="B282" s="3">
        <v>45658</v>
      </c>
      <c r="C282" t="s">
        <v>20</v>
      </c>
      <c r="D282" t="s">
        <v>18</v>
      </c>
      <c r="E282">
        <v>43896.13</v>
      </c>
      <c r="F282">
        <v>3853</v>
      </c>
      <c r="G282">
        <v>83</v>
      </c>
      <c r="H282">
        <v>4.4000000000000004</v>
      </c>
      <c r="I282">
        <f t="shared" si="32"/>
        <v>0</v>
      </c>
      <c r="J282">
        <v>8.7999999999999995E-2</v>
      </c>
      <c r="K282">
        <v>13</v>
      </c>
      <c r="L282">
        <v>6.8</v>
      </c>
      <c r="M282">
        <v>0</v>
      </c>
      <c r="N282">
        <v>509484.81</v>
      </c>
      <c r="O282">
        <v>85742.36</v>
      </c>
      <c r="P282">
        <f t="shared" si="33"/>
        <v>1</v>
      </c>
      <c r="Q282">
        <f t="shared" si="34"/>
        <v>0</v>
      </c>
      <c r="R282">
        <f t="shared" si="35"/>
        <v>0</v>
      </c>
      <c r="S282">
        <f t="shared" si="36"/>
        <v>0</v>
      </c>
      <c r="T282">
        <f t="shared" si="37"/>
        <v>1</v>
      </c>
      <c r="U282">
        <f t="shared" si="38"/>
        <v>559719.16195098229</v>
      </c>
      <c r="V282">
        <f t="shared" si="39"/>
        <v>-50234.351950982295</v>
      </c>
    </row>
    <row r="283" spans="1:22">
      <c r="A283" t="s">
        <v>55</v>
      </c>
      <c r="B283" s="3">
        <v>45658</v>
      </c>
      <c r="C283" t="s">
        <v>20</v>
      </c>
      <c r="D283" t="s">
        <v>18</v>
      </c>
      <c r="E283">
        <v>70276.28</v>
      </c>
      <c r="F283">
        <v>3043</v>
      </c>
      <c r="G283">
        <v>87.9</v>
      </c>
      <c r="H283">
        <v>4.4000000000000004</v>
      </c>
      <c r="I283">
        <f t="shared" si="32"/>
        <v>0</v>
      </c>
      <c r="J283">
        <v>7.9000000000000001E-2</v>
      </c>
      <c r="K283">
        <v>9</v>
      </c>
      <c r="L283">
        <v>3.77</v>
      </c>
      <c r="M283">
        <v>0</v>
      </c>
      <c r="N283">
        <v>527300.13</v>
      </c>
      <c r="O283">
        <v>84197.87</v>
      </c>
      <c r="P283">
        <f t="shared" si="33"/>
        <v>1</v>
      </c>
      <c r="Q283">
        <f t="shared" si="34"/>
        <v>0</v>
      </c>
      <c r="R283">
        <f t="shared" si="35"/>
        <v>0</v>
      </c>
      <c r="S283">
        <f t="shared" si="36"/>
        <v>0</v>
      </c>
      <c r="T283">
        <f t="shared" si="37"/>
        <v>1</v>
      </c>
      <c r="U283">
        <f t="shared" si="38"/>
        <v>578594.28726975038</v>
      </c>
      <c r="V283">
        <f t="shared" si="39"/>
        <v>-51294.157269750373</v>
      </c>
    </row>
    <row r="284" spans="1:22">
      <c r="A284" t="s">
        <v>40</v>
      </c>
      <c r="B284" s="3">
        <v>45748</v>
      </c>
      <c r="C284" t="s">
        <v>15</v>
      </c>
      <c r="D284" t="s">
        <v>16</v>
      </c>
      <c r="E284">
        <v>58749.63</v>
      </c>
      <c r="F284">
        <v>8252</v>
      </c>
      <c r="G284">
        <v>85.2</v>
      </c>
      <c r="H284">
        <v>4.5</v>
      </c>
      <c r="I284">
        <f t="shared" si="32"/>
        <v>0</v>
      </c>
      <c r="J284">
        <v>0.20300000000000001</v>
      </c>
      <c r="K284">
        <v>20</v>
      </c>
      <c r="L284">
        <v>3.61</v>
      </c>
      <c r="M284">
        <v>0</v>
      </c>
      <c r="N284">
        <v>680840.36</v>
      </c>
      <c r="O284">
        <v>68007.679999999993</v>
      </c>
      <c r="P284">
        <f t="shared" si="33"/>
        <v>0</v>
      </c>
      <c r="Q284">
        <f t="shared" si="34"/>
        <v>0</v>
      </c>
      <c r="R284">
        <f t="shared" si="35"/>
        <v>1</v>
      </c>
      <c r="S284">
        <f t="shared" si="36"/>
        <v>0</v>
      </c>
      <c r="T284">
        <f t="shared" si="37"/>
        <v>0</v>
      </c>
      <c r="U284">
        <f t="shared" si="38"/>
        <v>733444.56606783683</v>
      </c>
      <c r="V284">
        <f t="shared" si="39"/>
        <v>-52604.206067836843</v>
      </c>
    </row>
    <row r="285" spans="1:22">
      <c r="A285" t="s">
        <v>55</v>
      </c>
      <c r="B285" s="3">
        <v>45689</v>
      </c>
      <c r="C285" t="s">
        <v>20</v>
      </c>
      <c r="D285" t="s">
        <v>18</v>
      </c>
      <c r="E285">
        <v>22071.64</v>
      </c>
      <c r="F285">
        <v>1814</v>
      </c>
      <c r="G285">
        <v>81.099999999999994</v>
      </c>
      <c r="H285" s="6">
        <v>3.92</v>
      </c>
      <c r="I285">
        <f t="shared" si="32"/>
        <v>0</v>
      </c>
      <c r="J285">
        <v>0.19600000000000001</v>
      </c>
      <c r="K285">
        <v>8</v>
      </c>
      <c r="L285">
        <v>0.78</v>
      </c>
      <c r="M285">
        <v>0</v>
      </c>
      <c r="N285">
        <v>400831.65</v>
      </c>
      <c r="O285">
        <v>70979.31</v>
      </c>
      <c r="P285">
        <f t="shared" si="33"/>
        <v>1</v>
      </c>
      <c r="Q285">
        <f t="shared" si="34"/>
        <v>0</v>
      </c>
      <c r="R285">
        <f t="shared" si="35"/>
        <v>0</v>
      </c>
      <c r="S285">
        <f t="shared" si="36"/>
        <v>0</v>
      </c>
      <c r="T285">
        <f t="shared" si="37"/>
        <v>1</v>
      </c>
      <c r="U285">
        <f t="shared" si="38"/>
        <v>454273.87468116463</v>
      </c>
      <c r="V285">
        <f t="shared" si="39"/>
        <v>-53442.224681164604</v>
      </c>
    </row>
    <row r="286" spans="1:22">
      <c r="A286" t="s">
        <v>98</v>
      </c>
      <c r="B286" s="3">
        <v>45748</v>
      </c>
      <c r="C286" t="s">
        <v>24</v>
      </c>
      <c r="D286" t="s">
        <v>16</v>
      </c>
      <c r="E286">
        <v>60684.05</v>
      </c>
      <c r="F286">
        <v>6399</v>
      </c>
      <c r="G286">
        <v>99</v>
      </c>
      <c r="H286">
        <v>3.5</v>
      </c>
      <c r="I286">
        <f t="shared" si="32"/>
        <v>0</v>
      </c>
      <c r="J286">
        <v>7.4999999999999997E-2</v>
      </c>
      <c r="K286">
        <v>16</v>
      </c>
      <c r="L286">
        <v>3.82</v>
      </c>
      <c r="M286">
        <v>0</v>
      </c>
      <c r="N286">
        <v>651164.18000000005</v>
      </c>
      <c r="O286">
        <v>109466.5</v>
      </c>
      <c r="P286">
        <f t="shared" si="33"/>
        <v>0</v>
      </c>
      <c r="Q286">
        <f t="shared" si="34"/>
        <v>1</v>
      </c>
      <c r="R286">
        <f t="shared" si="35"/>
        <v>0</v>
      </c>
      <c r="S286">
        <f t="shared" si="36"/>
        <v>0</v>
      </c>
      <c r="T286">
        <f t="shared" si="37"/>
        <v>0</v>
      </c>
      <c r="U286">
        <f t="shared" si="38"/>
        <v>704769.46920732735</v>
      </c>
      <c r="V286">
        <f t="shared" si="39"/>
        <v>-53605.289207327296</v>
      </c>
    </row>
    <row r="287" spans="1:22">
      <c r="A287" t="s">
        <v>47</v>
      </c>
      <c r="B287" s="3">
        <v>45689</v>
      </c>
      <c r="C287" t="s">
        <v>15</v>
      </c>
      <c r="D287" t="s">
        <v>28</v>
      </c>
      <c r="E287">
        <v>63101.59</v>
      </c>
      <c r="F287">
        <v>4373</v>
      </c>
      <c r="G287">
        <v>90.4</v>
      </c>
      <c r="H287">
        <v>4.7</v>
      </c>
      <c r="I287">
        <f t="shared" si="32"/>
        <v>1</v>
      </c>
      <c r="J287">
        <v>0.17299999999999999</v>
      </c>
      <c r="K287">
        <v>14</v>
      </c>
      <c r="L287">
        <v>7.87</v>
      </c>
      <c r="M287">
        <v>0</v>
      </c>
      <c r="N287">
        <v>586626.93999999994</v>
      </c>
      <c r="O287">
        <v>86498.55</v>
      </c>
      <c r="P287">
        <f t="shared" si="33"/>
        <v>0</v>
      </c>
      <c r="Q287">
        <f t="shared" si="34"/>
        <v>0</v>
      </c>
      <c r="R287">
        <f t="shared" si="35"/>
        <v>1</v>
      </c>
      <c r="S287">
        <f t="shared" si="36"/>
        <v>0</v>
      </c>
      <c r="T287">
        <f t="shared" si="37"/>
        <v>0</v>
      </c>
      <c r="U287">
        <f t="shared" si="38"/>
        <v>640924.34672735538</v>
      </c>
      <c r="V287">
        <f t="shared" si="39"/>
        <v>-54297.406727355439</v>
      </c>
    </row>
    <row r="288" spans="1:22">
      <c r="A288" t="s">
        <v>79</v>
      </c>
      <c r="B288" s="3">
        <v>45658</v>
      </c>
      <c r="C288" t="s">
        <v>15</v>
      </c>
      <c r="D288" t="s">
        <v>18</v>
      </c>
      <c r="E288">
        <v>37324.230000000003</v>
      </c>
      <c r="F288">
        <v>5957</v>
      </c>
      <c r="G288">
        <v>85.9</v>
      </c>
      <c r="H288">
        <v>3.8</v>
      </c>
      <c r="I288">
        <f t="shared" si="32"/>
        <v>0</v>
      </c>
      <c r="J288">
        <v>7.0999999999999994E-2</v>
      </c>
      <c r="K288">
        <v>12</v>
      </c>
      <c r="L288">
        <v>0.37</v>
      </c>
      <c r="M288">
        <v>0</v>
      </c>
      <c r="N288">
        <v>570963.31000000006</v>
      </c>
      <c r="O288">
        <v>87342.25</v>
      </c>
      <c r="P288">
        <f t="shared" si="33"/>
        <v>0</v>
      </c>
      <c r="Q288">
        <f t="shared" si="34"/>
        <v>0</v>
      </c>
      <c r="R288">
        <f t="shared" si="35"/>
        <v>1</v>
      </c>
      <c r="S288">
        <f t="shared" si="36"/>
        <v>0</v>
      </c>
      <c r="T288">
        <f t="shared" si="37"/>
        <v>1</v>
      </c>
      <c r="U288">
        <f t="shared" si="38"/>
        <v>625449.2198270571</v>
      </c>
      <c r="V288">
        <f t="shared" si="39"/>
        <v>-54485.909827057039</v>
      </c>
    </row>
    <row r="289" spans="1:22">
      <c r="A289" t="s">
        <v>69</v>
      </c>
      <c r="B289" s="3">
        <v>45748</v>
      </c>
      <c r="C289" t="s">
        <v>15</v>
      </c>
      <c r="D289" t="s">
        <v>18</v>
      </c>
      <c r="E289">
        <v>54966.18</v>
      </c>
      <c r="F289">
        <v>4423</v>
      </c>
      <c r="G289">
        <v>88.7</v>
      </c>
      <c r="H289">
        <v>4.4000000000000004</v>
      </c>
      <c r="I289">
        <f t="shared" si="32"/>
        <v>0</v>
      </c>
      <c r="J289">
        <v>0.186</v>
      </c>
      <c r="K289">
        <v>13</v>
      </c>
      <c r="L289">
        <v>0.2</v>
      </c>
      <c r="M289">
        <v>0</v>
      </c>
      <c r="N289">
        <v>554012.06999999995</v>
      </c>
      <c r="O289">
        <v>81101.62</v>
      </c>
      <c r="P289">
        <f t="shared" si="33"/>
        <v>0</v>
      </c>
      <c r="Q289">
        <f t="shared" si="34"/>
        <v>0</v>
      </c>
      <c r="R289">
        <f t="shared" si="35"/>
        <v>1</v>
      </c>
      <c r="S289">
        <f t="shared" si="36"/>
        <v>0</v>
      </c>
      <c r="T289">
        <f t="shared" si="37"/>
        <v>1</v>
      </c>
      <c r="U289">
        <f t="shared" si="38"/>
        <v>609406.30799264158</v>
      </c>
      <c r="V289">
        <f t="shared" si="39"/>
        <v>-55394.237992641632</v>
      </c>
    </row>
    <row r="290" spans="1:22">
      <c r="A290" t="s">
        <v>17</v>
      </c>
      <c r="B290" s="3">
        <v>45658</v>
      </c>
      <c r="C290" t="s">
        <v>15</v>
      </c>
      <c r="D290" t="s">
        <v>18</v>
      </c>
      <c r="E290">
        <v>48412.639999999999</v>
      </c>
      <c r="F290">
        <v>9545</v>
      </c>
      <c r="G290">
        <v>97.6</v>
      </c>
      <c r="H290">
        <v>4.2</v>
      </c>
      <c r="I290">
        <f t="shared" si="32"/>
        <v>0</v>
      </c>
      <c r="J290">
        <v>0.23100000000000001</v>
      </c>
      <c r="K290">
        <v>21</v>
      </c>
      <c r="L290">
        <v>6.94</v>
      </c>
      <c r="M290">
        <v>1</v>
      </c>
      <c r="N290">
        <v>741341.44</v>
      </c>
      <c r="O290">
        <v>119208.17</v>
      </c>
      <c r="P290">
        <f t="shared" si="33"/>
        <v>0</v>
      </c>
      <c r="Q290">
        <f t="shared" si="34"/>
        <v>0</v>
      </c>
      <c r="R290">
        <f t="shared" si="35"/>
        <v>1</v>
      </c>
      <c r="S290">
        <f t="shared" si="36"/>
        <v>0</v>
      </c>
      <c r="T290">
        <f t="shared" si="37"/>
        <v>1</v>
      </c>
      <c r="U290">
        <f t="shared" si="38"/>
        <v>799358.92613568169</v>
      </c>
      <c r="V290">
        <f t="shared" si="39"/>
        <v>-58017.486135681742</v>
      </c>
    </row>
    <row r="291" spans="1:22">
      <c r="A291" t="s">
        <v>30</v>
      </c>
      <c r="B291" s="3">
        <v>45689</v>
      </c>
      <c r="C291" t="s">
        <v>20</v>
      </c>
      <c r="D291" t="s">
        <v>16</v>
      </c>
      <c r="E291">
        <v>73771.91</v>
      </c>
      <c r="F291">
        <v>11695</v>
      </c>
      <c r="G291">
        <v>84.7</v>
      </c>
      <c r="H291" s="6">
        <v>3.92</v>
      </c>
      <c r="I291">
        <f t="shared" si="32"/>
        <v>0</v>
      </c>
      <c r="J291">
        <v>7.0000000000000007E-2</v>
      </c>
      <c r="K291">
        <v>25</v>
      </c>
      <c r="L291">
        <v>0.62</v>
      </c>
      <c r="M291">
        <v>0</v>
      </c>
      <c r="N291">
        <v>799477.76000000001</v>
      </c>
      <c r="O291">
        <v>164974.41</v>
      </c>
      <c r="P291">
        <f t="shared" si="33"/>
        <v>1</v>
      </c>
      <c r="Q291">
        <f t="shared" si="34"/>
        <v>0</v>
      </c>
      <c r="R291">
        <f t="shared" si="35"/>
        <v>0</v>
      </c>
      <c r="S291">
        <f t="shared" si="36"/>
        <v>0</v>
      </c>
      <c r="T291">
        <f t="shared" si="37"/>
        <v>0</v>
      </c>
      <c r="U291">
        <f t="shared" si="38"/>
        <v>859831.29827068921</v>
      </c>
      <c r="V291">
        <f t="shared" si="39"/>
        <v>-60353.538270689198</v>
      </c>
    </row>
    <row r="292" spans="1:22">
      <c r="A292" t="s">
        <v>96</v>
      </c>
      <c r="B292" s="3">
        <v>45748</v>
      </c>
      <c r="C292" t="s">
        <v>27</v>
      </c>
      <c r="D292" t="s">
        <v>18</v>
      </c>
      <c r="E292">
        <v>24362.98</v>
      </c>
      <c r="F292">
        <v>1462</v>
      </c>
      <c r="G292">
        <v>89.3</v>
      </c>
      <c r="H292">
        <v>3.2</v>
      </c>
      <c r="I292">
        <f t="shared" si="32"/>
        <v>0</v>
      </c>
      <c r="J292">
        <v>0.11700000000000001</v>
      </c>
      <c r="K292">
        <v>6</v>
      </c>
      <c r="L292">
        <v>15.06</v>
      </c>
      <c r="M292">
        <v>0</v>
      </c>
      <c r="N292">
        <v>401582.58</v>
      </c>
      <c r="O292">
        <v>68454.929999999993</v>
      </c>
      <c r="P292">
        <f t="shared" si="33"/>
        <v>0</v>
      </c>
      <c r="Q292">
        <f t="shared" si="34"/>
        <v>0</v>
      </c>
      <c r="R292">
        <f t="shared" si="35"/>
        <v>0</v>
      </c>
      <c r="S292">
        <f t="shared" si="36"/>
        <v>0</v>
      </c>
      <c r="T292">
        <f t="shared" si="37"/>
        <v>1</v>
      </c>
      <c r="U292">
        <f t="shared" si="38"/>
        <v>462543.53799805325</v>
      </c>
      <c r="V292">
        <f t="shared" si="39"/>
        <v>-60960.957998053229</v>
      </c>
    </row>
    <row r="293" spans="1:22">
      <c r="A293" t="s">
        <v>22</v>
      </c>
      <c r="B293" s="3">
        <v>45689</v>
      </c>
      <c r="C293" t="s">
        <v>15</v>
      </c>
      <c r="D293" t="s">
        <v>16</v>
      </c>
      <c r="E293">
        <v>55716.82</v>
      </c>
      <c r="F293">
        <v>10054</v>
      </c>
      <c r="G293">
        <v>84.9</v>
      </c>
      <c r="H293">
        <v>4.3</v>
      </c>
      <c r="I293">
        <f t="shared" si="32"/>
        <v>0</v>
      </c>
      <c r="J293">
        <v>0.14599999999999999</v>
      </c>
      <c r="K293">
        <v>24</v>
      </c>
      <c r="L293">
        <v>1.06</v>
      </c>
      <c r="M293">
        <v>0</v>
      </c>
      <c r="N293">
        <v>726606.28</v>
      </c>
      <c r="O293">
        <v>122729.29</v>
      </c>
      <c r="P293">
        <f t="shared" si="33"/>
        <v>0</v>
      </c>
      <c r="Q293">
        <f t="shared" si="34"/>
        <v>0</v>
      </c>
      <c r="R293">
        <f t="shared" si="35"/>
        <v>1</v>
      </c>
      <c r="S293">
        <f t="shared" si="36"/>
        <v>0</v>
      </c>
      <c r="T293">
        <f t="shared" si="37"/>
        <v>0</v>
      </c>
      <c r="U293">
        <f t="shared" si="38"/>
        <v>787628.73112382938</v>
      </c>
      <c r="V293">
        <f t="shared" si="39"/>
        <v>-61022.451123829349</v>
      </c>
    </row>
    <row r="294" spans="1:22">
      <c r="A294" t="s">
        <v>101</v>
      </c>
      <c r="B294" s="3">
        <v>45658</v>
      </c>
      <c r="C294" t="s">
        <v>15</v>
      </c>
      <c r="D294" t="s">
        <v>16</v>
      </c>
      <c r="E294">
        <v>76614.320000000007</v>
      </c>
      <c r="F294">
        <v>5639</v>
      </c>
      <c r="G294">
        <v>92.9</v>
      </c>
      <c r="H294">
        <v>4</v>
      </c>
      <c r="I294">
        <f t="shared" si="32"/>
        <v>0</v>
      </c>
      <c r="J294">
        <v>0.17399999999999999</v>
      </c>
      <c r="K294">
        <v>15</v>
      </c>
      <c r="L294">
        <v>1.02</v>
      </c>
      <c r="M294">
        <v>1</v>
      </c>
      <c r="N294">
        <v>620264.19999999995</v>
      </c>
      <c r="O294">
        <v>91365.64</v>
      </c>
      <c r="P294">
        <f t="shared" si="33"/>
        <v>0</v>
      </c>
      <c r="Q294">
        <f t="shared" si="34"/>
        <v>0</v>
      </c>
      <c r="R294">
        <f t="shared" si="35"/>
        <v>1</v>
      </c>
      <c r="S294">
        <f t="shared" si="36"/>
        <v>0</v>
      </c>
      <c r="T294">
        <f t="shared" si="37"/>
        <v>0</v>
      </c>
      <c r="U294">
        <f t="shared" si="38"/>
        <v>684704.42247341177</v>
      </c>
      <c r="V294">
        <f t="shared" si="39"/>
        <v>-64440.222473411821</v>
      </c>
    </row>
    <row r="295" spans="1:22">
      <c r="A295" t="s">
        <v>52</v>
      </c>
      <c r="B295" s="3">
        <v>45748</v>
      </c>
      <c r="C295" t="s">
        <v>20</v>
      </c>
      <c r="D295" t="s">
        <v>18</v>
      </c>
      <c r="E295">
        <v>19063.48</v>
      </c>
      <c r="F295">
        <v>1906</v>
      </c>
      <c r="G295">
        <v>97.8</v>
      </c>
      <c r="H295">
        <v>4.4000000000000004</v>
      </c>
      <c r="I295">
        <f t="shared" si="32"/>
        <v>0</v>
      </c>
      <c r="J295">
        <v>0.216</v>
      </c>
      <c r="K295">
        <v>10</v>
      </c>
      <c r="L295">
        <v>15.79</v>
      </c>
      <c r="M295">
        <v>0</v>
      </c>
      <c r="N295">
        <v>441275.42</v>
      </c>
      <c r="O295">
        <v>58234.87</v>
      </c>
      <c r="P295">
        <f t="shared" si="33"/>
        <v>1</v>
      </c>
      <c r="Q295">
        <f t="shared" si="34"/>
        <v>0</v>
      </c>
      <c r="R295">
        <f t="shared" si="35"/>
        <v>0</v>
      </c>
      <c r="S295">
        <f t="shared" si="36"/>
        <v>0</v>
      </c>
      <c r="T295">
        <f t="shared" si="37"/>
        <v>1</v>
      </c>
      <c r="U295">
        <f t="shared" si="38"/>
        <v>509576.2337659467</v>
      </c>
      <c r="V295">
        <f t="shared" si="39"/>
        <v>-68300.813765946717</v>
      </c>
    </row>
    <row r="296" spans="1:22">
      <c r="A296" t="s">
        <v>14</v>
      </c>
      <c r="B296" s="3">
        <v>45689</v>
      </c>
      <c r="C296" t="s">
        <v>15</v>
      </c>
      <c r="D296" t="s">
        <v>16</v>
      </c>
      <c r="E296">
        <v>43827.89</v>
      </c>
      <c r="F296">
        <v>8487</v>
      </c>
      <c r="G296">
        <v>84.4</v>
      </c>
      <c r="H296">
        <v>2.8</v>
      </c>
      <c r="I296">
        <f t="shared" si="32"/>
        <v>0</v>
      </c>
      <c r="J296">
        <v>0.16800000000000001</v>
      </c>
      <c r="K296">
        <v>23</v>
      </c>
      <c r="L296">
        <v>4.3099999999999996</v>
      </c>
      <c r="M296">
        <v>0</v>
      </c>
      <c r="N296">
        <v>634436</v>
      </c>
      <c r="O296">
        <v>106130.54</v>
      </c>
      <c r="P296">
        <f t="shared" si="33"/>
        <v>0</v>
      </c>
      <c r="Q296">
        <f t="shared" si="34"/>
        <v>0</v>
      </c>
      <c r="R296">
        <f t="shared" si="35"/>
        <v>1</v>
      </c>
      <c r="S296">
        <f t="shared" si="36"/>
        <v>0</v>
      </c>
      <c r="T296">
        <f t="shared" si="37"/>
        <v>0</v>
      </c>
      <c r="U296">
        <f t="shared" si="38"/>
        <v>703517.52144203347</v>
      </c>
      <c r="V296">
        <f t="shared" si="39"/>
        <v>-69081.521442033467</v>
      </c>
    </row>
    <row r="297" spans="1:22">
      <c r="A297" t="s">
        <v>91</v>
      </c>
      <c r="B297" s="3">
        <v>45658</v>
      </c>
      <c r="C297" t="s">
        <v>24</v>
      </c>
      <c r="D297" t="s">
        <v>16</v>
      </c>
      <c r="E297">
        <v>61784.11</v>
      </c>
      <c r="F297">
        <v>8564</v>
      </c>
      <c r="G297">
        <v>87.4</v>
      </c>
      <c r="H297">
        <v>3.4</v>
      </c>
      <c r="I297">
        <f t="shared" si="32"/>
        <v>0</v>
      </c>
      <c r="J297">
        <v>0.13</v>
      </c>
      <c r="K297">
        <v>17</v>
      </c>
      <c r="L297">
        <v>18.14</v>
      </c>
      <c r="M297">
        <v>1</v>
      </c>
      <c r="N297">
        <v>673076.34</v>
      </c>
      <c r="O297">
        <v>93899.76</v>
      </c>
      <c r="P297">
        <f t="shared" si="33"/>
        <v>0</v>
      </c>
      <c r="Q297">
        <f t="shared" si="34"/>
        <v>1</v>
      </c>
      <c r="R297">
        <f t="shared" si="35"/>
        <v>0</v>
      </c>
      <c r="S297">
        <f t="shared" si="36"/>
        <v>0</v>
      </c>
      <c r="T297">
        <f t="shared" si="37"/>
        <v>0</v>
      </c>
      <c r="U297">
        <f t="shared" si="38"/>
        <v>742792.17704526067</v>
      </c>
      <c r="V297">
        <f t="shared" si="39"/>
        <v>-69715.837045260705</v>
      </c>
    </row>
    <row r="298" spans="1:22">
      <c r="A298" t="s">
        <v>54</v>
      </c>
      <c r="B298" s="3">
        <v>45717</v>
      </c>
      <c r="C298" t="s">
        <v>15</v>
      </c>
      <c r="D298" t="s">
        <v>18</v>
      </c>
      <c r="E298">
        <v>50735.63</v>
      </c>
      <c r="F298">
        <v>9619</v>
      </c>
      <c r="G298">
        <v>93.8</v>
      </c>
      <c r="H298">
        <v>4.5</v>
      </c>
      <c r="I298">
        <f t="shared" si="32"/>
        <v>0</v>
      </c>
      <c r="J298">
        <v>0.14399999999999999</v>
      </c>
      <c r="K298">
        <v>19</v>
      </c>
      <c r="L298">
        <v>5.12</v>
      </c>
      <c r="M298">
        <v>1</v>
      </c>
      <c r="N298">
        <v>725235.28</v>
      </c>
      <c r="O298">
        <v>121632.24</v>
      </c>
      <c r="P298">
        <f t="shared" si="33"/>
        <v>0</v>
      </c>
      <c r="Q298">
        <f t="shared" si="34"/>
        <v>0</v>
      </c>
      <c r="R298">
        <f t="shared" si="35"/>
        <v>1</v>
      </c>
      <c r="S298">
        <f t="shared" si="36"/>
        <v>0</v>
      </c>
      <c r="T298">
        <f t="shared" si="37"/>
        <v>1</v>
      </c>
      <c r="U298">
        <f t="shared" si="38"/>
        <v>796185.98216806888</v>
      </c>
      <c r="V298">
        <f t="shared" si="39"/>
        <v>-70950.702168068849</v>
      </c>
    </row>
    <row r="299" spans="1:22">
      <c r="A299" t="s">
        <v>73</v>
      </c>
      <c r="B299" s="3">
        <v>45717</v>
      </c>
      <c r="C299" t="s">
        <v>15</v>
      </c>
      <c r="D299" t="s">
        <v>28</v>
      </c>
      <c r="E299">
        <v>37983.35</v>
      </c>
      <c r="F299">
        <v>9283</v>
      </c>
      <c r="G299">
        <v>83.2</v>
      </c>
      <c r="H299">
        <v>3.7</v>
      </c>
      <c r="I299">
        <f t="shared" si="32"/>
        <v>1</v>
      </c>
      <c r="J299">
        <v>0.14899999999999999</v>
      </c>
      <c r="K299">
        <v>19</v>
      </c>
      <c r="L299">
        <v>3.82</v>
      </c>
      <c r="M299">
        <v>0</v>
      </c>
      <c r="N299">
        <v>671868.59</v>
      </c>
      <c r="O299">
        <v>71003.28</v>
      </c>
      <c r="P299">
        <f t="shared" si="33"/>
        <v>0</v>
      </c>
      <c r="Q299">
        <f t="shared" si="34"/>
        <v>0</v>
      </c>
      <c r="R299">
        <f t="shared" si="35"/>
        <v>1</v>
      </c>
      <c r="S299">
        <f t="shared" si="36"/>
        <v>0</v>
      </c>
      <c r="T299">
        <f t="shared" si="37"/>
        <v>0</v>
      </c>
      <c r="U299">
        <f t="shared" si="38"/>
        <v>744420.16409125645</v>
      </c>
      <c r="V299">
        <f t="shared" si="39"/>
        <v>-72551.57409125648</v>
      </c>
    </row>
    <row r="300" spans="1:22">
      <c r="A300" t="s">
        <v>81</v>
      </c>
      <c r="B300" s="3">
        <v>45658</v>
      </c>
      <c r="C300" t="s">
        <v>27</v>
      </c>
      <c r="D300" t="s">
        <v>28</v>
      </c>
      <c r="E300">
        <v>46495.4</v>
      </c>
      <c r="F300">
        <v>9908</v>
      </c>
      <c r="G300">
        <v>89.4</v>
      </c>
      <c r="H300">
        <v>3.7</v>
      </c>
      <c r="I300">
        <f t="shared" si="32"/>
        <v>1</v>
      </c>
      <c r="J300">
        <v>0.121</v>
      </c>
      <c r="K300">
        <v>22</v>
      </c>
      <c r="L300">
        <v>3.22</v>
      </c>
      <c r="M300">
        <v>0</v>
      </c>
      <c r="N300">
        <v>721079.35</v>
      </c>
      <c r="O300">
        <v>115295.05</v>
      </c>
      <c r="P300">
        <f t="shared" si="33"/>
        <v>0</v>
      </c>
      <c r="Q300">
        <f t="shared" si="34"/>
        <v>0</v>
      </c>
      <c r="R300">
        <f t="shared" si="35"/>
        <v>0</v>
      </c>
      <c r="S300">
        <f t="shared" si="36"/>
        <v>0</v>
      </c>
      <c r="T300">
        <f t="shared" si="37"/>
        <v>0</v>
      </c>
      <c r="U300">
        <f t="shared" si="38"/>
        <v>794447.27876471984</v>
      </c>
      <c r="V300">
        <f t="shared" si="39"/>
        <v>-73367.928764719865</v>
      </c>
    </row>
    <row r="301" spans="1:22">
      <c r="A301" t="s">
        <v>74</v>
      </c>
      <c r="B301" s="3">
        <v>45689</v>
      </c>
      <c r="C301" t="s">
        <v>15</v>
      </c>
      <c r="D301" t="s">
        <v>18</v>
      </c>
      <c r="E301">
        <v>62949.7</v>
      </c>
      <c r="F301">
        <v>9458</v>
      </c>
      <c r="G301">
        <v>84.9</v>
      </c>
      <c r="H301">
        <v>3.3</v>
      </c>
      <c r="I301">
        <f t="shared" si="32"/>
        <v>0</v>
      </c>
      <c r="J301">
        <v>0.17100000000000001</v>
      </c>
      <c r="K301">
        <v>19</v>
      </c>
      <c r="L301">
        <v>5.09</v>
      </c>
      <c r="M301">
        <v>0</v>
      </c>
      <c r="N301">
        <v>691288.19</v>
      </c>
      <c r="O301">
        <v>159074.14000000001</v>
      </c>
      <c r="P301">
        <f t="shared" si="33"/>
        <v>0</v>
      </c>
      <c r="Q301">
        <f t="shared" si="34"/>
        <v>0</v>
      </c>
      <c r="R301">
        <f t="shared" si="35"/>
        <v>1</v>
      </c>
      <c r="S301">
        <f t="shared" si="36"/>
        <v>0</v>
      </c>
      <c r="T301">
        <f t="shared" si="37"/>
        <v>1</v>
      </c>
      <c r="U301">
        <f t="shared" si="38"/>
        <v>765686.59270083392</v>
      </c>
      <c r="V301">
        <f t="shared" si="39"/>
        <v>-74398.402700833976</v>
      </c>
    </row>
    <row r="302" spans="1:22">
      <c r="A302" t="s">
        <v>56</v>
      </c>
      <c r="B302" s="3">
        <v>45658</v>
      </c>
      <c r="C302" t="s">
        <v>24</v>
      </c>
      <c r="D302" t="s">
        <v>16</v>
      </c>
      <c r="E302">
        <v>71320.66</v>
      </c>
      <c r="F302">
        <v>7888</v>
      </c>
      <c r="G302">
        <v>78.099999999999994</v>
      </c>
      <c r="H302" s="6">
        <v>3.92</v>
      </c>
      <c r="I302">
        <f t="shared" si="32"/>
        <v>0</v>
      </c>
      <c r="J302">
        <v>4.8000000000000001E-2</v>
      </c>
      <c r="K302">
        <v>20</v>
      </c>
      <c r="L302">
        <v>3.4</v>
      </c>
      <c r="M302">
        <v>0</v>
      </c>
      <c r="N302">
        <v>633638.03</v>
      </c>
      <c r="O302">
        <v>99402.01</v>
      </c>
      <c r="P302">
        <f t="shared" si="33"/>
        <v>0</v>
      </c>
      <c r="Q302">
        <f t="shared" si="34"/>
        <v>1</v>
      </c>
      <c r="R302">
        <f t="shared" si="35"/>
        <v>0</v>
      </c>
      <c r="S302">
        <f t="shared" si="36"/>
        <v>0</v>
      </c>
      <c r="T302">
        <f t="shared" si="37"/>
        <v>0</v>
      </c>
      <c r="U302">
        <f t="shared" si="38"/>
        <v>708455.03545465542</v>
      </c>
      <c r="V302">
        <f t="shared" si="39"/>
        <v>-74817.005454655387</v>
      </c>
    </row>
    <row r="303" spans="1:22">
      <c r="A303" t="s">
        <v>51</v>
      </c>
      <c r="B303" s="3">
        <v>45717</v>
      </c>
      <c r="C303" t="s">
        <v>27</v>
      </c>
      <c r="D303" t="s">
        <v>16</v>
      </c>
      <c r="E303">
        <v>42415.47</v>
      </c>
      <c r="F303">
        <v>8512</v>
      </c>
      <c r="G303">
        <v>96.8</v>
      </c>
      <c r="H303">
        <v>4.5999999999999996</v>
      </c>
      <c r="I303">
        <f t="shared" si="32"/>
        <v>0</v>
      </c>
      <c r="J303">
        <v>0.13300000000000001</v>
      </c>
      <c r="K303">
        <v>18</v>
      </c>
      <c r="L303">
        <v>14.95</v>
      </c>
      <c r="M303">
        <v>0</v>
      </c>
      <c r="N303">
        <v>684217.32</v>
      </c>
      <c r="O303">
        <v>136217.19</v>
      </c>
      <c r="P303">
        <f t="shared" si="33"/>
        <v>0</v>
      </c>
      <c r="Q303">
        <f t="shared" si="34"/>
        <v>0</v>
      </c>
      <c r="R303">
        <f t="shared" si="35"/>
        <v>0</v>
      </c>
      <c r="S303">
        <f t="shared" si="36"/>
        <v>0</v>
      </c>
      <c r="T303">
        <f t="shared" si="37"/>
        <v>0</v>
      </c>
      <c r="U303">
        <f t="shared" si="38"/>
        <v>759138.49009495683</v>
      </c>
      <c r="V303">
        <f t="shared" si="39"/>
        <v>-74921.170094956877</v>
      </c>
    </row>
    <row r="304" spans="1:22">
      <c r="A304" t="s">
        <v>40</v>
      </c>
      <c r="B304" s="3">
        <v>45689</v>
      </c>
      <c r="C304" t="s">
        <v>15</v>
      </c>
      <c r="D304" t="s">
        <v>16</v>
      </c>
      <c r="E304">
        <v>53762.92</v>
      </c>
      <c r="F304">
        <v>6821</v>
      </c>
      <c r="G304">
        <v>94.6</v>
      </c>
      <c r="H304">
        <v>4.4000000000000004</v>
      </c>
      <c r="I304">
        <f t="shared" si="32"/>
        <v>0</v>
      </c>
      <c r="J304">
        <v>6.6000000000000003E-2</v>
      </c>
      <c r="K304">
        <v>19</v>
      </c>
      <c r="L304">
        <v>7.03</v>
      </c>
      <c r="M304">
        <v>0</v>
      </c>
      <c r="N304">
        <v>630829.93999999994</v>
      </c>
      <c r="O304">
        <v>117090.02</v>
      </c>
      <c r="P304">
        <f t="shared" si="33"/>
        <v>0</v>
      </c>
      <c r="Q304">
        <f t="shared" si="34"/>
        <v>0</v>
      </c>
      <c r="R304">
        <f t="shared" si="35"/>
        <v>1</v>
      </c>
      <c r="S304">
        <f t="shared" si="36"/>
        <v>0</v>
      </c>
      <c r="T304">
        <f t="shared" si="37"/>
        <v>0</v>
      </c>
      <c r="U304">
        <f t="shared" si="38"/>
        <v>706795.06394491997</v>
      </c>
      <c r="V304">
        <f t="shared" si="39"/>
        <v>-75965.123944920022</v>
      </c>
    </row>
    <row r="305" spans="1:22">
      <c r="A305" t="s">
        <v>29</v>
      </c>
      <c r="B305" s="3">
        <v>45748</v>
      </c>
      <c r="C305" t="s">
        <v>15</v>
      </c>
      <c r="D305" t="s">
        <v>16</v>
      </c>
      <c r="E305">
        <v>69816.350000000006</v>
      </c>
      <c r="F305">
        <v>971</v>
      </c>
      <c r="G305">
        <v>89.9</v>
      </c>
      <c r="H305">
        <v>3.6</v>
      </c>
      <c r="I305">
        <f t="shared" si="32"/>
        <v>0</v>
      </c>
      <c r="J305">
        <v>0.16800000000000001</v>
      </c>
      <c r="K305">
        <v>5</v>
      </c>
      <c r="L305">
        <v>12.15</v>
      </c>
      <c r="M305">
        <v>0</v>
      </c>
      <c r="N305">
        <v>427917.38</v>
      </c>
      <c r="O305">
        <v>81824.31</v>
      </c>
      <c r="P305">
        <f t="shared" si="33"/>
        <v>0</v>
      </c>
      <c r="Q305">
        <f t="shared" si="34"/>
        <v>0</v>
      </c>
      <c r="R305">
        <f t="shared" si="35"/>
        <v>1</v>
      </c>
      <c r="S305">
        <f t="shared" si="36"/>
        <v>0</v>
      </c>
      <c r="T305">
        <f t="shared" si="37"/>
        <v>0</v>
      </c>
      <c r="U305">
        <f t="shared" si="38"/>
        <v>505905.44425172749</v>
      </c>
      <c r="V305">
        <f t="shared" si="39"/>
        <v>-77988.064251727483</v>
      </c>
    </row>
    <row r="306" spans="1:22">
      <c r="A306" t="s">
        <v>29</v>
      </c>
      <c r="B306" s="3">
        <v>45658</v>
      </c>
      <c r="C306" t="s">
        <v>15</v>
      </c>
      <c r="D306" t="s">
        <v>16</v>
      </c>
      <c r="E306">
        <v>68600.62</v>
      </c>
      <c r="F306">
        <v>3988</v>
      </c>
      <c r="G306">
        <v>85</v>
      </c>
      <c r="H306">
        <v>3.6</v>
      </c>
      <c r="I306">
        <f t="shared" si="32"/>
        <v>0</v>
      </c>
      <c r="J306">
        <v>0.124</v>
      </c>
      <c r="K306">
        <v>11</v>
      </c>
      <c r="L306">
        <v>0.48</v>
      </c>
      <c r="M306">
        <v>0</v>
      </c>
      <c r="N306">
        <v>511844.41</v>
      </c>
      <c r="O306">
        <v>72774.44</v>
      </c>
      <c r="P306">
        <f t="shared" si="33"/>
        <v>0</v>
      </c>
      <c r="Q306">
        <f t="shared" si="34"/>
        <v>0</v>
      </c>
      <c r="R306">
        <f t="shared" si="35"/>
        <v>1</v>
      </c>
      <c r="S306">
        <f t="shared" si="36"/>
        <v>0</v>
      </c>
      <c r="T306">
        <f t="shared" si="37"/>
        <v>0</v>
      </c>
      <c r="U306">
        <f t="shared" si="38"/>
        <v>591326.62053845997</v>
      </c>
      <c r="V306">
        <f t="shared" si="39"/>
        <v>-79482.21053846</v>
      </c>
    </row>
    <row r="307" spans="1:22">
      <c r="A307" t="s">
        <v>14</v>
      </c>
      <c r="B307" s="3">
        <v>45717</v>
      </c>
      <c r="C307" t="s">
        <v>15</v>
      </c>
      <c r="D307" t="s">
        <v>16</v>
      </c>
      <c r="E307">
        <v>59921.75</v>
      </c>
      <c r="F307">
        <v>9113</v>
      </c>
      <c r="G307">
        <v>88</v>
      </c>
      <c r="H307">
        <v>3.2</v>
      </c>
      <c r="I307">
        <f t="shared" si="32"/>
        <v>0</v>
      </c>
      <c r="J307">
        <v>0.13300000000000001</v>
      </c>
      <c r="K307">
        <v>20</v>
      </c>
      <c r="L307">
        <v>12</v>
      </c>
      <c r="M307">
        <v>0</v>
      </c>
      <c r="N307">
        <v>678722.06</v>
      </c>
      <c r="O307">
        <v>101883.86</v>
      </c>
      <c r="P307">
        <f t="shared" si="33"/>
        <v>0</v>
      </c>
      <c r="Q307">
        <f t="shared" si="34"/>
        <v>0</v>
      </c>
      <c r="R307">
        <f t="shared" si="35"/>
        <v>1</v>
      </c>
      <c r="S307">
        <f t="shared" si="36"/>
        <v>0</v>
      </c>
      <c r="T307">
        <f t="shared" si="37"/>
        <v>0</v>
      </c>
      <c r="U307">
        <f t="shared" si="38"/>
        <v>758839.08102031739</v>
      </c>
      <c r="V307">
        <f t="shared" si="39"/>
        <v>-80117.021020317334</v>
      </c>
    </row>
    <row r="308" spans="1:22">
      <c r="A308" t="s">
        <v>89</v>
      </c>
      <c r="B308" s="3">
        <v>45748</v>
      </c>
      <c r="C308" t="s">
        <v>15</v>
      </c>
      <c r="D308" t="s">
        <v>28</v>
      </c>
      <c r="E308">
        <v>29344.93</v>
      </c>
      <c r="F308">
        <v>7446</v>
      </c>
      <c r="G308">
        <v>86.2</v>
      </c>
      <c r="H308">
        <v>3.2</v>
      </c>
      <c r="I308">
        <f t="shared" si="32"/>
        <v>1</v>
      </c>
      <c r="J308">
        <v>0.111</v>
      </c>
      <c r="K308">
        <v>15</v>
      </c>
      <c r="L308">
        <v>0.2</v>
      </c>
      <c r="M308">
        <v>0</v>
      </c>
      <c r="N308">
        <v>593343</v>
      </c>
      <c r="O308">
        <v>82832.240000000005</v>
      </c>
      <c r="P308">
        <f t="shared" si="33"/>
        <v>0</v>
      </c>
      <c r="Q308">
        <f t="shared" si="34"/>
        <v>0</v>
      </c>
      <c r="R308">
        <f t="shared" si="35"/>
        <v>1</v>
      </c>
      <c r="S308">
        <f t="shared" si="36"/>
        <v>0</v>
      </c>
      <c r="T308">
        <f t="shared" si="37"/>
        <v>0</v>
      </c>
      <c r="U308">
        <f t="shared" si="38"/>
        <v>676120.21022381797</v>
      </c>
      <c r="V308">
        <f t="shared" si="39"/>
        <v>-82777.210223817965</v>
      </c>
    </row>
    <row r="309" spans="1:22">
      <c r="A309" t="s">
        <v>70</v>
      </c>
      <c r="B309" s="3">
        <v>45748</v>
      </c>
      <c r="C309" t="s">
        <v>27</v>
      </c>
      <c r="D309" t="s">
        <v>16</v>
      </c>
      <c r="E309">
        <v>41657.64</v>
      </c>
      <c r="F309">
        <v>3135</v>
      </c>
      <c r="G309">
        <v>85.4</v>
      </c>
      <c r="H309" s="6">
        <v>3.92</v>
      </c>
      <c r="I309">
        <f t="shared" si="32"/>
        <v>0</v>
      </c>
      <c r="J309">
        <v>0.22900000000000001</v>
      </c>
      <c r="K309">
        <v>7</v>
      </c>
      <c r="L309">
        <v>13.48</v>
      </c>
      <c r="M309">
        <v>0</v>
      </c>
      <c r="N309">
        <v>449465.06</v>
      </c>
      <c r="O309">
        <v>65694.78</v>
      </c>
      <c r="P309">
        <f t="shared" si="33"/>
        <v>0</v>
      </c>
      <c r="Q309">
        <f t="shared" si="34"/>
        <v>0</v>
      </c>
      <c r="R309">
        <f t="shared" si="35"/>
        <v>0</v>
      </c>
      <c r="S309">
        <f t="shared" si="36"/>
        <v>0</v>
      </c>
      <c r="T309">
        <f t="shared" si="37"/>
        <v>0</v>
      </c>
      <c r="U309">
        <f t="shared" si="38"/>
        <v>535139.43163039663</v>
      </c>
      <c r="V309">
        <f t="shared" si="39"/>
        <v>-85674.371630396636</v>
      </c>
    </row>
    <row r="310" spans="1:22">
      <c r="A310" t="s">
        <v>35</v>
      </c>
      <c r="B310" s="3">
        <v>45658</v>
      </c>
      <c r="C310" t="s">
        <v>27</v>
      </c>
      <c r="D310" t="s">
        <v>18</v>
      </c>
      <c r="E310">
        <v>53015.46</v>
      </c>
      <c r="F310">
        <v>3279</v>
      </c>
      <c r="G310">
        <v>84.3</v>
      </c>
      <c r="H310">
        <v>3.9</v>
      </c>
      <c r="I310">
        <f t="shared" si="32"/>
        <v>0</v>
      </c>
      <c r="J310">
        <v>8.6999999999999994E-2</v>
      </c>
      <c r="K310">
        <v>9</v>
      </c>
      <c r="L310">
        <v>22.02</v>
      </c>
      <c r="M310">
        <v>0</v>
      </c>
      <c r="N310">
        <v>463534.25</v>
      </c>
      <c r="O310">
        <v>81834.539999999994</v>
      </c>
      <c r="P310">
        <f t="shared" si="33"/>
        <v>0</v>
      </c>
      <c r="Q310">
        <f t="shared" si="34"/>
        <v>0</v>
      </c>
      <c r="R310">
        <f t="shared" si="35"/>
        <v>0</v>
      </c>
      <c r="S310">
        <f t="shared" si="36"/>
        <v>0</v>
      </c>
      <c r="T310">
        <f t="shared" si="37"/>
        <v>1</v>
      </c>
      <c r="U310">
        <f t="shared" si="38"/>
        <v>549919.99264939304</v>
      </c>
      <c r="V310">
        <f t="shared" si="39"/>
        <v>-86385.74264939304</v>
      </c>
    </row>
    <row r="311" spans="1:22">
      <c r="A311" t="s">
        <v>64</v>
      </c>
      <c r="B311" s="3">
        <v>45689</v>
      </c>
      <c r="C311" t="s">
        <v>15</v>
      </c>
      <c r="D311" t="s">
        <v>16</v>
      </c>
      <c r="E311">
        <v>32834.480000000003</v>
      </c>
      <c r="F311">
        <v>7576</v>
      </c>
      <c r="G311">
        <v>84.1</v>
      </c>
      <c r="H311">
        <v>5</v>
      </c>
      <c r="I311">
        <f t="shared" si="32"/>
        <v>0</v>
      </c>
      <c r="J311">
        <v>9.9000000000000005E-2</v>
      </c>
      <c r="K311">
        <v>15</v>
      </c>
      <c r="L311">
        <v>3.48</v>
      </c>
      <c r="M311">
        <v>0</v>
      </c>
      <c r="N311">
        <v>593637.14</v>
      </c>
      <c r="O311">
        <v>106648.14</v>
      </c>
      <c r="P311">
        <f t="shared" si="33"/>
        <v>0</v>
      </c>
      <c r="Q311">
        <f t="shared" si="34"/>
        <v>0</v>
      </c>
      <c r="R311">
        <f t="shared" si="35"/>
        <v>1</v>
      </c>
      <c r="S311">
        <f t="shared" si="36"/>
        <v>0</v>
      </c>
      <c r="T311">
        <f t="shared" si="37"/>
        <v>0</v>
      </c>
      <c r="U311">
        <f t="shared" si="38"/>
        <v>681762.91551332385</v>
      </c>
      <c r="V311">
        <f t="shared" si="39"/>
        <v>-88125.775513323839</v>
      </c>
    </row>
    <row r="312" spans="1:22">
      <c r="A312" t="s">
        <v>73</v>
      </c>
      <c r="B312" s="3">
        <v>45748</v>
      </c>
      <c r="C312" t="s">
        <v>15</v>
      </c>
      <c r="D312" t="s">
        <v>28</v>
      </c>
      <c r="E312">
        <v>56413.83</v>
      </c>
      <c r="F312">
        <v>8303</v>
      </c>
      <c r="G312">
        <v>93.6</v>
      </c>
      <c r="H312">
        <v>3.7</v>
      </c>
      <c r="I312">
        <f t="shared" si="32"/>
        <v>1</v>
      </c>
      <c r="J312">
        <v>0.11600000000000001</v>
      </c>
      <c r="K312">
        <v>18</v>
      </c>
      <c r="L312">
        <v>2.7</v>
      </c>
      <c r="M312">
        <v>0</v>
      </c>
      <c r="N312">
        <v>675917.63</v>
      </c>
      <c r="O312">
        <v>112564.75</v>
      </c>
      <c r="P312">
        <f t="shared" si="33"/>
        <v>0</v>
      </c>
      <c r="Q312">
        <f t="shared" si="34"/>
        <v>0</v>
      </c>
      <c r="R312">
        <f t="shared" si="35"/>
        <v>1</v>
      </c>
      <c r="S312">
        <f t="shared" si="36"/>
        <v>0</v>
      </c>
      <c r="T312">
        <f t="shared" si="37"/>
        <v>0</v>
      </c>
      <c r="U312">
        <f t="shared" si="38"/>
        <v>764848.58928653214</v>
      </c>
      <c r="V312">
        <f t="shared" si="39"/>
        <v>-88930.959286532132</v>
      </c>
    </row>
    <row r="313" spans="1:22">
      <c r="A313" t="s">
        <v>89</v>
      </c>
      <c r="B313" s="3">
        <v>45658</v>
      </c>
      <c r="C313" t="s">
        <v>15</v>
      </c>
      <c r="D313" t="s">
        <v>28</v>
      </c>
      <c r="E313">
        <v>48752.92</v>
      </c>
      <c r="F313">
        <v>8052</v>
      </c>
      <c r="G313">
        <v>94.9</v>
      </c>
      <c r="H313">
        <v>3.6</v>
      </c>
      <c r="I313">
        <f t="shared" si="32"/>
        <v>1</v>
      </c>
      <c r="J313">
        <v>0.106</v>
      </c>
      <c r="K313">
        <v>16</v>
      </c>
      <c r="L313">
        <v>0.65</v>
      </c>
      <c r="M313">
        <v>0</v>
      </c>
      <c r="N313">
        <v>660633.99</v>
      </c>
      <c r="O313">
        <v>118768.66</v>
      </c>
      <c r="P313">
        <f t="shared" si="33"/>
        <v>0</v>
      </c>
      <c r="Q313">
        <f t="shared" si="34"/>
        <v>0</v>
      </c>
      <c r="R313">
        <f t="shared" si="35"/>
        <v>1</v>
      </c>
      <c r="S313">
        <f t="shared" si="36"/>
        <v>0</v>
      </c>
      <c r="T313">
        <f t="shared" si="37"/>
        <v>0</v>
      </c>
      <c r="U313">
        <f t="shared" si="38"/>
        <v>750202.80130800011</v>
      </c>
      <c r="V313">
        <f t="shared" si="39"/>
        <v>-89568.81130800012</v>
      </c>
    </row>
    <row r="314" spans="1:22">
      <c r="A314" t="s">
        <v>98</v>
      </c>
      <c r="B314" s="3">
        <v>45689</v>
      </c>
      <c r="C314" t="s">
        <v>24</v>
      </c>
      <c r="D314" t="s">
        <v>16</v>
      </c>
      <c r="E314">
        <v>46146.239999999998</v>
      </c>
      <c r="F314">
        <v>5804</v>
      </c>
      <c r="G314">
        <v>86.9</v>
      </c>
      <c r="H314">
        <v>3.8</v>
      </c>
      <c r="I314">
        <f t="shared" si="32"/>
        <v>0</v>
      </c>
      <c r="J314">
        <v>4.7E-2</v>
      </c>
      <c r="K314">
        <v>16</v>
      </c>
      <c r="L314">
        <v>15.82</v>
      </c>
      <c r="M314">
        <v>0</v>
      </c>
      <c r="N314">
        <v>538376</v>
      </c>
      <c r="O314">
        <v>87605.62</v>
      </c>
      <c r="P314">
        <f t="shared" si="33"/>
        <v>0</v>
      </c>
      <c r="Q314">
        <f t="shared" si="34"/>
        <v>1</v>
      </c>
      <c r="R314">
        <f t="shared" si="35"/>
        <v>0</v>
      </c>
      <c r="S314">
        <f t="shared" si="36"/>
        <v>0</v>
      </c>
      <c r="T314">
        <f t="shared" si="37"/>
        <v>0</v>
      </c>
      <c r="U314">
        <f t="shared" si="38"/>
        <v>633795.87437773484</v>
      </c>
      <c r="V314">
        <f t="shared" si="39"/>
        <v>-95419.874377734843</v>
      </c>
    </row>
    <row r="315" spans="1:22">
      <c r="A315" t="s">
        <v>26</v>
      </c>
      <c r="B315" s="3">
        <v>45689</v>
      </c>
      <c r="C315" t="s">
        <v>27</v>
      </c>
      <c r="D315" t="s">
        <v>28</v>
      </c>
      <c r="E315">
        <v>172415.52</v>
      </c>
      <c r="F315">
        <v>8927</v>
      </c>
      <c r="G315">
        <v>86.2</v>
      </c>
      <c r="H315">
        <v>3.9</v>
      </c>
      <c r="I315">
        <f t="shared" si="32"/>
        <v>1</v>
      </c>
      <c r="J315">
        <v>0.14000000000000001</v>
      </c>
      <c r="K315">
        <v>22</v>
      </c>
      <c r="L315">
        <v>7.04</v>
      </c>
      <c r="M315">
        <v>0</v>
      </c>
      <c r="N315">
        <v>800451.94</v>
      </c>
      <c r="O315">
        <v>111572.29</v>
      </c>
      <c r="P315">
        <f t="shared" si="33"/>
        <v>0</v>
      </c>
      <c r="Q315">
        <f t="shared" si="34"/>
        <v>0</v>
      </c>
      <c r="R315">
        <f t="shared" si="35"/>
        <v>0</v>
      </c>
      <c r="S315">
        <f t="shared" si="36"/>
        <v>0</v>
      </c>
      <c r="T315">
        <f t="shared" si="37"/>
        <v>0</v>
      </c>
      <c r="U315">
        <f t="shared" si="38"/>
        <v>903119.39790277625</v>
      </c>
      <c r="V315">
        <f t="shared" si="39"/>
        <v>-102667.45790277631</v>
      </c>
    </row>
    <row r="316" spans="1:22">
      <c r="A316" t="s">
        <v>25</v>
      </c>
      <c r="B316" s="3">
        <v>45658</v>
      </c>
      <c r="C316" t="s">
        <v>20</v>
      </c>
      <c r="D316" t="s">
        <v>16</v>
      </c>
      <c r="E316">
        <v>30356.28</v>
      </c>
      <c r="F316">
        <v>2822</v>
      </c>
      <c r="G316">
        <v>84.8</v>
      </c>
      <c r="H316">
        <v>5</v>
      </c>
      <c r="I316">
        <f t="shared" si="32"/>
        <v>0</v>
      </c>
      <c r="J316">
        <v>0.23100000000000001</v>
      </c>
      <c r="K316">
        <v>9</v>
      </c>
      <c r="L316">
        <v>6.95</v>
      </c>
      <c r="M316">
        <v>0</v>
      </c>
      <c r="N316">
        <v>415721.82</v>
      </c>
      <c r="O316">
        <v>61179.15</v>
      </c>
      <c r="P316">
        <f t="shared" si="33"/>
        <v>1</v>
      </c>
      <c r="Q316">
        <f t="shared" si="34"/>
        <v>0</v>
      </c>
      <c r="R316">
        <f t="shared" si="35"/>
        <v>0</v>
      </c>
      <c r="S316">
        <f t="shared" si="36"/>
        <v>0</v>
      </c>
      <c r="T316">
        <f t="shared" si="37"/>
        <v>0</v>
      </c>
      <c r="U316">
        <f t="shared" si="38"/>
        <v>520604.89364826033</v>
      </c>
      <c r="V316">
        <f t="shared" si="39"/>
        <v>-104883.07364826032</v>
      </c>
    </row>
    <row r="317" spans="1:22">
      <c r="A317" t="s">
        <v>14</v>
      </c>
      <c r="B317" s="3">
        <v>45748</v>
      </c>
      <c r="C317" t="s">
        <v>15</v>
      </c>
      <c r="D317" t="s">
        <v>16</v>
      </c>
      <c r="E317">
        <v>56856.63</v>
      </c>
      <c r="F317">
        <v>9431</v>
      </c>
      <c r="G317">
        <v>86.9</v>
      </c>
      <c r="H317">
        <v>3.4</v>
      </c>
      <c r="I317">
        <f t="shared" si="32"/>
        <v>0</v>
      </c>
      <c r="J317">
        <v>0.14199999999999999</v>
      </c>
      <c r="K317">
        <v>23</v>
      </c>
      <c r="L317">
        <v>4.97</v>
      </c>
      <c r="M317">
        <v>0</v>
      </c>
      <c r="N317">
        <v>658920.30000000005</v>
      </c>
      <c r="O317">
        <v>97910.37</v>
      </c>
      <c r="P317">
        <f t="shared" si="33"/>
        <v>0</v>
      </c>
      <c r="Q317">
        <f t="shared" si="34"/>
        <v>0</v>
      </c>
      <c r="R317">
        <f t="shared" si="35"/>
        <v>1</v>
      </c>
      <c r="S317">
        <f t="shared" si="36"/>
        <v>0</v>
      </c>
      <c r="T317">
        <f t="shared" si="37"/>
        <v>0</v>
      </c>
      <c r="U317">
        <f t="shared" si="38"/>
        <v>764668.48406179587</v>
      </c>
      <c r="V317">
        <f t="shared" si="39"/>
        <v>-105748.18406179582</v>
      </c>
    </row>
    <row r="318" spans="1:22">
      <c r="A318" t="s">
        <v>30</v>
      </c>
      <c r="B318" s="3">
        <v>45658</v>
      </c>
      <c r="C318" t="s">
        <v>20</v>
      </c>
      <c r="D318" t="s">
        <v>16</v>
      </c>
      <c r="E318">
        <v>54597.83</v>
      </c>
      <c r="F318">
        <v>9429</v>
      </c>
      <c r="G318">
        <v>83.3</v>
      </c>
      <c r="H318">
        <v>4.2</v>
      </c>
      <c r="I318">
        <f t="shared" si="32"/>
        <v>0</v>
      </c>
      <c r="J318">
        <v>0.188</v>
      </c>
      <c r="K318">
        <v>21</v>
      </c>
      <c r="L318">
        <v>11.71</v>
      </c>
      <c r="M318">
        <v>0</v>
      </c>
      <c r="N318">
        <v>641865.03</v>
      </c>
      <c r="O318">
        <v>81342.58</v>
      </c>
      <c r="P318">
        <f t="shared" si="33"/>
        <v>1</v>
      </c>
      <c r="Q318">
        <f t="shared" si="34"/>
        <v>0</v>
      </c>
      <c r="R318">
        <f t="shared" si="35"/>
        <v>0</v>
      </c>
      <c r="S318">
        <f t="shared" si="36"/>
        <v>0</v>
      </c>
      <c r="T318">
        <f t="shared" si="37"/>
        <v>0</v>
      </c>
      <c r="U318">
        <f t="shared" si="38"/>
        <v>759314.72514894023</v>
      </c>
      <c r="V318">
        <f t="shared" si="39"/>
        <v>-117449.6951489402</v>
      </c>
    </row>
    <row r="319" spans="1:22">
      <c r="A319" t="s">
        <v>33</v>
      </c>
      <c r="B319" s="3">
        <v>45658</v>
      </c>
      <c r="C319" t="s">
        <v>27</v>
      </c>
      <c r="D319" t="s">
        <v>16</v>
      </c>
      <c r="E319">
        <v>138855.51</v>
      </c>
      <c r="F319">
        <v>5145</v>
      </c>
      <c r="G319">
        <v>88.2</v>
      </c>
      <c r="H319">
        <v>3.2</v>
      </c>
      <c r="I319">
        <f t="shared" si="32"/>
        <v>0</v>
      </c>
      <c r="J319">
        <v>0.06</v>
      </c>
      <c r="K319">
        <v>17</v>
      </c>
      <c r="L319">
        <v>9.58</v>
      </c>
      <c r="M319">
        <v>0</v>
      </c>
      <c r="N319">
        <v>595467.6</v>
      </c>
      <c r="O319">
        <v>104276.46</v>
      </c>
      <c r="P319">
        <f t="shared" si="33"/>
        <v>0</v>
      </c>
      <c r="Q319">
        <f t="shared" si="34"/>
        <v>0</v>
      </c>
      <c r="R319">
        <f t="shared" si="35"/>
        <v>0</v>
      </c>
      <c r="S319">
        <f t="shared" si="36"/>
        <v>0</v>
      </c>
      <c r="T319">
        <f t="shared" si="37"/>
        <v>0</v>
      </c>
      <c r="U319">
        <f t="shared" si="38"/>
        <v>719266.35465324251</v>
      </c>
      <c r="V319">
        <f t="shared" si="39"/>
        <v>-123798.75465324253</v>
      </c>
    </row>
    <row r="320" spans="1:22">
      <c r="A320" t="s">
        <v>44</v>
      </c>
      <c r="B320" s="3">
        <v>45689</v>
      </c>
      <c r="C320" t="s">
        <v>24</v>
      </c>
      <c r="D320" t="s">
        <v>28</v>
      </c>
      <c r="E320">
        <v>141540.29</v>
      </c>
      <c r="F320">
        <v>5400</v>
      </c>
      <c r="G320">
        <v>87</v>
      </c>
      <c r="H320">
        <v>4.5</v>
      </c>
      <c r="I320">
        <f t="shared" si="32"/>
        <v>1</v>
      </c>
      <c r="J320">
        <v>1.2999999999999999E-2</v>
      </c>
      <c r="K320">
        <v>12</v>
      </c>
      <c r="L320">
        <v>4.26</v>
      </c>
      <c r="M320">
        <v>0</v>
      </c>
      <c r="N320">
        <v>627171.9</v>
      </c>
      <c r="O320">
        <v>105772.75</v>
      </c>
      <c r="P320">
        <f t="shared" si="33"/>
        <v>0</v>
      </c>
      <c r="Q320">
        <f t="shared" si="34"/>
        <v>1</v>
      </c>
      <c r="R320">
        <f t="shared" si="35"/>
        <v>0</v>
      </c>
      <c r="S320">
        <f t="shared" si="36"/>
        <v>0</v>
      </c>
      <c r="T320">
        <f t="shared" si="37"/>
        <v>0</v>
      </c>
      <c r="U320">
        <f t="shared" si="38"/>
        <v>756210.47691348218</v>
      </c>
      <c r="V320">
        <f t="shared" si="39"/>
        <v>-129038.57691348216</v>
      </c>
    </row>
    <row r="321" spans="1:22">
      <c r="A321" t="s">
        <v>38</v>
      </c>
      <c r="B321" s="3">
        <v>45717</v>
      </c>
      <c r="C321" t="s">
        <v>27</v>
      </c>
      <c r="D321" t="s">
        <v>18</v>
      </c>
      <c r="E321">
        <v>79346.100000000006</v>
      </c>
      <c r="F321">
        <v>9628</v>
      </c>
      <c r="G321">
        <v>99</v>
      </c>
      <c r="H321">
        <v>3.2</v>
      </c>
      <c r="I321">
        <f t="shared" si="32"/>
        <v>0</v>
      </c>
      <c r="J321">
        <v>0.10199999999999999</v>
      </c>
      <c r="K321">
        <v>20</v>
      </c>
      <c r="L321">
        <v>19.010000000000002</v>
      </c>
      <c r="M321">
        <v>1</v>
      </c>
      <c r="N321">
        <v>685379.08</v>
      </c>
      <c r="O321">
        <v>106898.82</v>
      </c>
      <c r="P321">
        <f t="shared" si="33"/>
        <v>0</v>
      </c>
      <c r="Q321">
        <f t="shared" si="34"/>
        <v>0</v>
      </c>
      <c r="R321">
        <f t="shared" si="35"/>
        <v>0</v>
      </c>
      <c r="S321">
        <f t="shared" si="36"/>
        <v>0</v>
      </c>
      <c r="T321">
        <f t="shared" si="37"/>
        <v>1</v>
      </c>
      <c r="U321">
        <f t="shared" si="38"/>
        <v>832694.85432764085</v>
      </c>
      <c r="V321">
        <f t="shared" si="39"/>
        <v>-147315.77432764089</v>
      </c>
    </row>
    <row r="324" spans="1:22">
      <c r="H324" s="5"/>
      <c r="L324"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Original Dataset</vt:lpstr>
      <vt:lpstr>Cleaned Dataset </vt:lpstr>
      <vt:lpstr>    Dummy Variables</vt:lpstr>
      <vt:lpstr>Simple regression outputs</vt:lpstr>
      <vt:lpstr>Multiple regression outputs</vt:lpstr>
      <vt:lpstr>data_dictionary</vt:lpstr>
      <vt:lpstr>Temporary for multiple regressi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Kritika Agrawal</cp:lastModifiedBy>
  <dcterms:created xsi:type="dcterms:W3CDTF">2026-06-28T08:52:16Z</dcterms:created>
  <dcterms:modified xsi:type="dcterms:W3CDTF">2026-06-28T13:41:45Z</dcterms:modified>
</cp:coreProperties>
</file>